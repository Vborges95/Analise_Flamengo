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P" sheetId="1" state="visible" r:id="rId3"/>
    <sheet name="DRE" sheetId="2" state="visible" r:id="rId4"/>
    <sheet name="Receita Detalhada" sheetId="3" state="visible" r:id="rId5"/>
    <sheet name="DFC" sheetId="4" state="visible" r:id="rId6"/>
    <sheet name="Operacional Puro" sheetId="5" state="visible" r:id="rId7"/>
    <sheet name="Indicadores" sheetId="6" state="visible" r:id="rId8"/>
    <sheet name="Premissas Runway" sheetId="7" state="visible" r:id="rId9"/>
    <sheet name="Modelo Runway" sheetId="8" state="visible" r:id="rId10"/>
    <sheet name="Resumo Cenários" sheetId="9" state="visible" r:id="rId11"/>
    <sheet name="Caminho A - Trajetória" sheetId="10" state="visible" r:id="rId12"/>
    <sheet name="Hilton Rio By Yoo" sheetId="11" state="visible" r:id="rId13"/>
    <sheet name="PROFUT-PERSE" sheetId="12" state="visible" r:id="rId14"/>
    <sheet name="Gasômetro" sheetId="13" state="visible" r:id="rId15"/>
    <sheet name="Maracana Fla-Flu" sheetId="14" state="visible" r:id="rId16"/>
    <sheet name="Exposicao Cambial" sheetId="15" state="visible" r:id="rId17"/>
    <sheet name="Recebiveis Inadimplencia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<sst xmlns="http://schemas.openxmlformats.org/spreadsheetml/2006/main" count="1107" uniqueCount="813">
  <si>
    <t xml:space="preserve">Clube de Regatas do Flamengo — Balanço Patrimonial</t>
  </si>
  <si>
    <t xml:space="preserve">Valores em R$ milhares — 4 exercícios consecutivos (2022 a 2025)</t>
  </si>
  <si>
    <t xml:space="preserve">Linha</t>
  </si>
  <si>
    <t xml:space="preserve">Nota</t>
  </si>
  <si>
    <t xml:space="preserve">2022</t>
  </si>
  <si>
    <t xml:space="preserve">2023</t>
  </si>
  <si>
    <t xml:space="preserve">2024 Cont.</t>
  </si>
  <si>
    <t xml:space="preserve">2024 Consol.</t>
  </si>
  <si>
    <t xml:space="preserve">2025 Cont.</t>
  </si>
  <si>
    <t xml:space="preserve">2025 Consol.</t>
  </si>
  <si>
    <t xml:space="preserve">ATIVO</t>
  </si>
  <si>
    <t xml:space="preserve">Circulante</t>
  </si>
  <si>
    <t xml:space="preserve">Caixa e equivalentes de caixa</t>
  </si>
  <si>
    <t xml:space="preserve">3</t>
  </si>
  <si>
    <t xml:space="preserve">Caixa restrito</t>
  </si>
  <si>
    <t xml:space="preserve">Contas a receber</t>
  </si>
  <si>
    <t xml:space="preserve">4</t>
  </si>
  <si>
    <t xml:space="preserve">Estoques</t>
  </si>
  <si>
    <t xml:space="preserve">Despesas antecipadas</t>
  </si>
  <si>
    <t xml:space="preserve">Instrumentos financeiros (forwards)</t>
  </si>
  <si>
    <t xml:space="preserve">23</t>
  </si>
  <si>
    <t xml:space="preserve">Outros</t>
  </si>
  <si>
    <t xml:space="preserve">Total do ativo circulante</t>
  </si>
  <si>
    <t xml:space="preserve">Ativo disponível para venda (Hilton Rio By Yoo)</t>
  </si>
  <si>
    <t xml:space="preserve">6</t>
  </si>
  <si>
    <t xml:space="preserve">Não circulante</t>
  </si>
  <si>
    <t xml:space="preserve">Contas a receber LP (transferência jogadores)</t>
  </si>
  <si>
    <t xml:space="preserve">Depósitos judiciais</t>
  </si>
  <si>
    <t xml:space="preserve">13</t>
  </si>
  <si>
    <t xml:space="preserve">Investimento em participação societária (Fla-Flu)</t>
  </si>
  <si>
    <t xml:space="preserve">5</t>
  </si>
  <si>
    <t xml:space="preserve">Propriedades para investimento</t>
  </si>
  <si>
    <t xml:space="preserve">Imobilizado</t>
  </si>
  <si>
    <t xml:space="preserve">8</t>
  </si>
  <si>
    <t xml:space="preserve">Intangível</t>
  </si>
  <si>
    <t xml:space="preserve">7</t>
  </si>
  <si>
    <t xml:space="preserve">Total do ativo não circulante</t>
  </si>
  <si>
    <t xml:space="preserve">TOTAL DO ATIVO</t>
  </si>
  <si>
    <t xml:space="preserve">PASSIVO</t>
  </si>
  <si>
    <t xml:space="preserve">Fornecedores e outras obrigações</t>
  </si>
  <si>
    <t xml:space="preserve">9</t>
  </si>
  <si>
    <t xml:space="preserve">Empréstimos</t>
  </si>
  <si>
    <t xml:space="preserve">Impostos e contribuições sociais</t>
  </si>
  <si>
    <t xml:space="preserve">10</t>
  </si>
  <si>
    <t xml:space="preserve">Obrigações trabalhistas e sociais</t>
  </si>
  <si>
    <t xml:space="preserve">11</t>
  </si>
  <si>
    <t xml:space="preserve">Adiantamentos recebidos</t>
  </si>
  <si>
    <t xml:space="preserve">12</t>
  </si>
  <si>
    <t xml:space="preserve">Outorga concessão de uso de bem público (CP)</t>
  </si>
  <si>
    <t xml:space="preserve">7.1</t>
  </si>
  <si>
    <t xml:space="preserve">Total do passivo circulante</t>
  </si>
  <si>
    <t xml:space="preserve">Provisão para contingências</t>
  </si>
  <si>
    <t xml:space="preserve">Adiantamentos recebidos LP</t>
  </si>
  <si>
    <t xml:space="preserve">Outorga concessão de uso de bem público (LP)</t>
  </si>
  <si>
    <t xml:space="preserve">Total do passivo não circulante</t>
  </si>
  <si>
    <t xml:space="preserve">TOTAL DO PASSIVO</t>
  </si>
  <si>
    <t xml:space="preserve">PATRIMÔNIO LÍQUIDO</t>
  </si>
  <si>
    <t xml:space="preserve">Ajuste de avaliação patrimonial</t>
  </si>
  <si>
    <t xml:space="preserve">14</t>
  </si>
  <si>
    <t xml:space="preserve">Superávits acumulados</t>
  </si>
  <si>
    <t xml:space="preserve">Subtotal patrimônio do controlador</t>
  </si>
  <si>
    <t xml:space="preserve">Participação na investida do sócio não-controlador</t>
  </si>
  <si>
    <t xml:space="preserve">Total do patrimônio líquido</t>
  </si>
  <si>
    <t xml:space="preserve">TOTAL DO PASSIVO + PATRIMÔNIO LÍQUIDO</t>
  </si>
  <si>
    <t xml:space="preserve">CONFERÊNCIA: Ativo − (Passivo + PL)</t>
  </si>
  <si>
    <t xml:space="preserve">Notas críticas:</t>
  </si>
  <si>
    <t xml:space="preserve">• Para 2022 e 2023 não havia ainda Fla-Flu Serviços S.A. (criada 30/08/2024) — só coluna Controladora.</t>
  </si>
  <si>
    <t xml:space="preserve">• 2022 e 2023: C/R agrupa 'Contas a receber operacionais' + 'C/R transferência jogadores CP' (apresentado separado no BP original).</t>
  </si>
  <si>
    <t xml:space="preserve">• 2022 e 2023: 'Outros' do circulante e não circulante são residuais — itens pulverizados não destacados pelo clube.</t>
  </si>
  <si>
    <t xml:space="preserve">• 2022: Depósitos judiciais estimado em R$ 53.076 a partir do comparativo do BP 2023.</t>
  </si>
  <si>
    <t xml:space="preserve">• 2024 e 2025: BP segue apresentação reorganizada onde Fornecedores e outras obrigações já agrupa Fornecedores + C/P transferência jogadores.</t>
  </si>
  <si>
    <t xml:space="preserve">• Hilton Rio By Yoo: em 2022 estava em 'Propriedades para investimento'. Reclassificado parcialmente para 'Disponível para venda' a partir de 2023.</t>
  </si>
  <si>
    <t xml:space="preserve">• Investimento Fla-Flu aparece apenas na Controladora — no Consolidado é eliminado por equivalência patrimonial.</t>
  </si>
  <si>
    <t xml:space="preserve">• Outorga concessão Maracanã: passivo da Fla-Flu, aparece apenas no Consolidado.</t>
  </si>
  <si>
    <t xml:space="preserve">• Instrumentos financeiros (forwards USD/EUR): estreia em 2025 — primeiro hedge cambial do clube.</t>
  </si>
  <si>
    <t xml:space="preserve">• Conferência Ativo − (Passivo + PL) deve ser zero em todas as colunas.</t>
  </si>
  <si>
    <t xml:space="preserve">Clube de Regatas do Flamengo — Demonstração do Resultado do Exercício</t>
  </si>
  <si>
    <t xml:space="preserve">Valores em R$ milhares — 4 exercícios consecutivos | 2022 e 2023 reapresentados sob ITG 2003 R2</t>
  </si>
  <si>
    <t xml:space="preserve">2022 reapr.</t>
  </si>
  <si>
    <t xml:space="preserve">2023 reapr.</t>
  </si>
  <si>
    <t xml:space="preserve">Receita operacional líquida</t>
  </si>
  <si>
    <t xml:space="preserve">15</t>
  </si>
  <si>
    <t xml:space="preserve">RESULTADO BRUTO</t>
  </si>
  <si>
    <t xml:space="preserve">Custo das atividades sociais e esportivas</t>
  </si>
  <si>
    <t xml:space="preserve">16</t>
  </si>
  <si>
    <t xml:space="preserve">Resultado bruto</t>
  </si>
  <si>
    <t xml:space="preserve">Margem bruta (%)</t>
  </si>
  <si>
    <t xml:space="preserve">DESPESAS OPERACIONAIS</t>
  </si>
  <si>
    <t xml:space="preserve">Despesas administrativas</t>
  </si>
  <si>
    <t xml:space="preserve">17</t>
  </si>
  <si>
    <t xml:space="preserve">Despesas comerciais</t>
  </si>
  <si>
    <t xml:space="preserve">18</t>
  </si>
  <si>
    <t xml:space="preserve">Outras receitas (despesas) operacionais líquidas</t>
  </si>
  <si>
    <t xml:space="preserve">19</t>
  </si>
  <si>
    <t xml:space="preserve">Resultado de equivalência patrimonial (Fla-Flu)</t>
  </si>
  <si>
    <t xml:space="preserve">Resultado operacional antes do resultado financeiro</t>
  </si>
  <si>
    <t xml:space="preserve">Margem operacional (%)</t>
  </si>
  <si>
    <t xml:space="preserve">RESULTADO FINANCEIRO</t>
  </si>
  <si>
    <t xml:space="preserve">Despesas financeiras</t>
  </si>
  <si>
    <t xml:space="preserve">20</t>
  </si>
  <si>
    <t xml:space="preserve">Receitas financeiras</t>
  </si>
  <si>
    <t xml:space="preserve">Resultado financeiro líquido</t>
  </si>
  <si>
    <t xml:space="preserve">Resultado antes do IR/CSLL</t>
  </si>
  <si>
    <t xml:space="preserve">Imposto de renda e contribuição social</t>
  </si>
  <si>
    <t xml:space="preserve">SUPERÁVIT / (DÉFICIT) DO EXERCÍCIO</t>
  </si>
  <si>
    <t xml:space="preserve">Margem líquida (%)</t>
  </si>
  <si>
    <t xml:space="preserve">• 2023 reapresentado conforme NE 2.14 do balanço 2024 — segregação de vendas de atletas da Receita Operacional para 'Outras receitas operacionais' (impacto na Receita: -R$ 303.493 / no Custo: +R$ 82.322 / em Outras: +R$ 221.171).</t>
  </si>
  <si>
    <t xml:space="preserve">• 2022 reapresentado retroativamente por consistência metodológica — receita de transferências de atletas (R$ 133.351, NE original 2022) removida da Receita e custos diretos relacionados (R$ 66.346 = baixa direitos profissionais 41.580 + gastos com negociações 18.366 + repasse direitos econômicos 6.400) realocados de Custo para Outras. Superávit final inalterado.</t>
  </si>
  <si>
    <t xml:space="preserve">• 2022: 'baixa direitos econômicos formação' (R$ 18.411) NÃO foi reclassificada — refere-se a amortização de atletas formados, não a custo direto de venda.</t>
  </si>
  <si>
    <t xml:space="preserve">• Equivalência patrimonial só aparece na Controladora — no Consolidado a Fla-Flu é integrada linha por linha.</t>
  </si>
  <si>
    <t xml:space="preserve">• IR/CSLL: Flamengo (associação) é isento. Linha aparece apenas no Consolidado a partir de 2024, refletindo a Fla-Flu Serviços S.A. tributada por lucro presumido.</t>
  </si>
  <si>
    <t xml:space="preserve">• Em 2025, Outras receitas (despesas) operacionais líquidas contém R$ 267.360 (líquido) de movimentação de atletas — Mundial e Intercontinental NÃO entram aqui (vão em Participação/exposição na Receita).</t>
  </si>
  <si>
    <t xml:space="preserve">• Margem bruta de 2025 (16% Cont / 20% Consol) está deprimida pela linha de Custos — a margem efetiva do clube vê-se melhor no resultado operacional antes do financeiro.</t>
  </si>
  <si>
    <t xml:space="preserve">• 2022 e 2023: sem Fla-Flu, sem Consolidado. Linhas Consolidado aparecem zeradas/vazias.</t>
  </si>
  <si>
    <t xml:space="preserve">Reconciliação da reapresentação de 2022 (metodologia)</t>
  </si>
  <si>
    <t xml:space="preserve">Original 2022</t>
  </si>
  <si>
    <t xml:space="preserve">Ajuste</t>
  </si>
  <si>
    <t xml:space="preserve">Reapresentado 2022</t>
  </si>
  <si>
    <t xml:space="preserve">Custo das atividades</t>
  </si>
  <si>
    <t xml:space="preserve">Outras receitas (despesas) op. líq.</t>
  </si>
  <si>
    <t xml:space="preserve">Resultado op. antes do financeiro</t>
  </si>
  <si>
    <t xml:space="preserve">Superávit do exercício</t>
  </si>
  <si>
    <t xml:space="preserve">Clube de Regatas do Flamengo — Receita Operacional Detalhada</t>
  </si>
  <si>
    <t xml:space="preserve">Decomposição por categoria conforme NE 15 — Receita BRUTA (antes de deduções) | Sem transferências de atletas</t>
  </si>
  <si>
    <t xml:space="preserve">BROADCAST / MÍDIA</t>
  </si>
  <si>
    <t xml:space="preserve">Direitos de transmissão fixos</t>
  </si>
  <si>
    <t xml:space="preserve">Participação, exposição, performance (linha-chave do eixo)</t>
  </si>
  <si>
    <t xml:space="preserve">Mídias digitais on demand</t>
  </si>
  <si>
    <t xml:space="preserve">Subtotal Broadcast/Mídia</t>
  </si>
  <si>
    <t xml:space="preserve">COMERCIAL</t>
  </si>
  <si>
    <t xml:space="preserve">Licenciamento e royalties</t>
  </si>
  <si>
    <t xml:space="preserve">Patrocínio e publicidade</t>
  </si>
  <si>
    <t xml:space="preserve">Subtotal Comercial</t>
  </si>
  <si>
    <t xml:space="preserve">OPERAÇÕES DE JOGOS (MATCHDAY)</t>
  </si>
  <si>
    <t xml:space="preserve">Bilheteria</t>
  </si>
  <si>
    <t xml:space="preserve">Estádio (Controladora)</t>
  </si>
  <si>
    <t xml:space="preserve">Estádio Fla-Flu (camarotes/locação) — só Consolidado</t>
  </si>
  <si>
    <t xml:space="preserve">Visitação Maracanã (Tour) — só Consolidado</t>
  </si>
  <si>
    <t xml:space="preserve">Sócio Torcedor</t>
  </si>
  <si>
    <t xml:space="preserve">Subtotal Matchday</t>
  </si>
  <si>
    <t xml:space="preserve">DIVERSOS</t>
  </si>
  <si>
    <t xml:space="preserve">Diversos (inclui clube social e amadores)</t>
  </si>
  <si>
    <t xml:space="preserve">Subtotal Diversos</t>
  </si>
  <si>
    <t xml:space="preserve">RECEITA BRUTA RECORRENTE TOTAL (sem atletas)</t>
  </si>
  <si>
    <t xml:space="preserve">TRANSFERÊNCIA DE ATLETAS — só 2022 e 2023 dentro da Receita | 2024-2025 vão em 'Outras Receitas Op.'</t>
  </si>
  <si>
    <t xml:space="preserve">Direitos federativos</t>
  </si>
  <si>
    <t xml:space="preserve">Mecanismo de solidariedade</t>
  </si>
  <si>
    <t xml:space="preserve">Subtotal Transferência de Atletas (apresentação ORIGINAL)</t>
  </si>
  <si>
    <t xml:space="preserve">(Para 2024 e 2025 a receita de transferência de atletas está em 'Outras receitas operacionais' — ver aba DRE linha 16)</t>
  </si>
  <si>
    <t xml:space="preserve">RECEITA BRUTA TOTAL — informativa (com atletas em 2022-2023, apresentação original)</t>
  </si>
  <si>
    <t xml:space="preserve">DEDUÇÕES E RECEITA LÍQUIDA</t>
  </si>
  <si>
    <t xml:space="preserve">(-) Deduções (PIS folha 1% / INSS receita 5% / outros) — sobre Receita Bruta Recorrente</t>
  </si>
  <si>
    <t xml:space="preserve">2.8</t>
  </si>
  <si>
    <t xml:space="preserve">RECEITA OPERACIONAL LÍQUIDA (= DRE!linha 6)</t>
  </si>
  <si>
    <t xml:space="preserve">DECOMPOSIÇÃO ANALÍTICA — "Participação, exposição, performance" (premissas ajustáveis)</t>
  </si>
  <si>
    <t xml:space="preserve">Premissas em AMARELO são editáveis — heurísticas iniciais baseadas em premiações divulgadas</t>
  </si>
  <si>
    <t xml:space="preserve">Cotas fixas Libertadores (fase de grupos)</t>
  </si>
  <si>
    <t xml:space="preserve">Premiações nacionais ex-Brasileirão (Supercopa + Copa Brasil + Carioca)</t>
  </si>
  <si>
    <t xml:space="preserve">Performance Libertadores (vitórias + oitavas/quartas/semi/título)</t>
  </si>
  <si>
    <t xml:space="preserve">Prêmio FIFA Mundial de Clubes (jun-jul 2025) — não-recorrente</t>
  </si>
  <si>
    <t xml:space="preserve">Prêmio FIFA Intercontinental (dez 2025) — não-recorrente</t>
  </si>
  <si>
    <t xml:space="preserve">Outras participações / exposição (resíduo)</t>
  </si>
  <si>
    <t xml:space="preserve">Soma da decomposição (deve bater com linha 8)</t>
  </si>
  <si>
    <t xml:space="preserve">VERIFICAÇÃO: Soma da decomposição − Linha 8 (deve ser zero)</t>
  </si>
  <si>
    <t xml:space="preserve">EFEITO FIFA 2025 (Mundial + Intercontinental) — para a aba Operacional Puro</t>
  </si>
  <si>
    <t xml:space="preserve">• Detalhamento da NE 15 do balanço 2025 (e NE 17 do balanço 2024 para os comparativos 2023 e 2024) — apresentação reorganizada após 2022.</t>
  </si>
  <si>
    <t xml:space="preserve">• 2022 reorganizado para formato consistente: 'Patrocínio' foi extraído de 'Mídia' (apresentação original) para 'Comercial'; 'Licenciamento' foi extraído de 'Mídias digitais' para 'Comercial'. Total inalterado.</t>
  </si>
  <si>
    <t xml:space="preserve">• 2023 reapresentado: a NE 17 do balanço 2024 já trouxe os comparativos reorganizados (vendas de atletas fora da Receita).</t>
  </si>
  <si>
    <t xml:space="preserve">• Linha 8 (Participação, exposição, performance) é a CENTRAL para o eixo do post. Triplicou em 2025 vs 2024 (+186%, +R$ 246 mi).</t>
  </si>
  <si>
    <t xml:space="preserve">• Estádio Controladora caiu -76% em 2025 vs 2024 (R$ 47,7 → R$ 11,4 mi) por migração da gestão Maracanã para a Fla-Flu — o impacto se compensa na linha 20 (Estádio Fla-Flu).</t>
  </si>
  <si>
    <t xml:space="preserve">• Mídias digitais on demand caiu -84% em 2025 — reclassificação contábil (foi para 'Transmissão fixos' e 'Participação'), NÃO queda real.</t>
  </si>
  <si>
    <t xml:space="preserve">• Estádio Fla-Flu 2024 Consol estimado em R$ 16,7 mi (operação parcial set-dez/2024) — premissa, ajustável.</t>
  </si>
  <si>
    <t xml:space="preserve">• Decomposição da linha-chave (linhas 47-52): premissas iniciais baseadas em divulgações públicas. Vinicius ajusta a partir de seus conhecimentos sobre premiações.</t>
  </si>
  <si>
    <t xml:space="preserve">• Prêmio FIFA Mundial estimado em R$ 140 mi (USD ~28M considerando classificação à fase de grupos + saída nas oitavas — Flamengo eliminado pelo Bayern). Intercontinental estimado em R$ 28,8 mi (residual).</t>
  </si>
  <si>
    <t xml:space="preserve">• Soma deve bater EXATAMENTE com Linha 8 — célula de verificação na linha 54.</t>
  </si>
  <si>
    <t xml:space="preserve">• Linha 56 isola o efeito FIFA não-recorrente de 2025 (Mundial + Intercontinental) — alimenta a aba Operacional Puro para calcular EBITDA Recorrente Puro.</t>
  </si>
  <si>
    <t xml:space="preserve">Clube de Regatas do Flamengo — Demonstração dos Fluxos de Caixa</t>
  </si>
  <si>
    <t xml:space="preserve">Método indireto | R$ milhares | Caixa LIVRE (sem restrito) | 2022 sem detalhe DFC</t>
  </si>
  <si>
    <t xml:space="preserve">ATIVIDADES OPERACIONAIS</t>
  </si>
  <si>
    <t xml:space="preserve">Superávit/(Déficit) do exercício</t>
  </si>
  <si>
    <t xml:space="preserve">Ajustes para conciliação ao caixa operacional:</t>
  </si>
  <si>
    <t xml:space="preserve">Amortização de direitos sobre atletas</t>
  </si>
  <si>
    <t xml:space="preserve">Depreciação de imobilizado e outras amortizações</t>
  </si>
  <si>
    <t xml:space="preserve">Baixa de custos com aquisição de direitos federativos (NOVO 2025)</t>
  </si>
  <si>
    <t xml:space="preserve">Amortização outorga concessão Maracanã (só Consolidado)</t>
  </si>
  <si>
    <t xml:space="preserve">(-) Resultado de equivalência patrimonial Fla-Flu (só Cont)</t>
  </si>
  <si>
    <t xml:space="preserve">(-) Ajuste a valor presente instrumentos financeiros (NOVO 2025)</t>
  </si>
  <si>
    <t xml:space="preserve">Outros ajustes (juros parcelamentos, var. cambial não-caixa, contingências, etc.)</t>
  </si>
  <si>
    <t xml:space="preserve">Subtotal ajustes</t>
  </si>
  <si>
    <t xml:space="preserve">Variações em ativos e passivos operacionais:</t>
  </si>
  <si>
    <t xml:space="preserve">(Aumento) redução em contas a receber (incl. C/R jogadores)</t>
  </si>
  <si>
    <t xml:space="preserve">Aumento (redução) em fornecedores e C/P jogadores</t>
  </si>
  <si>
    <t xml:space="preserve">Aumento (redução) em adiantamentos recebidos</t>
  </si>
  <si>
    <t xml:space="preserve">Outras variações líquidas (residual: depós. judiciais, contingências, AVP, etc.)</t>
  </si>
  <si>
    <t xml:space="preserve">Outorga concessão em capital de giro (só Consolidado, NOVO 2025)</t>
  </si>
  <si>
    <t xml:space="preserve">Subtotal variações</t>
  </si>
  <si>
    <t xml:space="preserve">CAIXA LÍQUIDO DE ATIVIDADES OPERACIONAIS</t>
  </si>
  <si>
    <t xml:space="preserve">ATIVIDADES DE INVESTIMENTO</t>
  </si>
  <si>
    <t xml:space="preserve">Pagamento de compra de direitos sobre jogadores</t>
  </si>
  <si>
    <t xml:space="preserve">Compras de imobilizado</t>
  </si>
  <si>
    <t xml:space="preserve">Investimento em aquisição de bem público (só Consolidado 2025)</t>
  </si>
  <si>
    <t xml:space="preserve">Investimento na Fla-Flu (só Controladora)</t>
  </si>
  <si>
    <t xml:space="preserve">Alienação Hilton Rio By Yoo</t>
  </si>
  <si>
    <t xml:space="preserve">Outras atividades de investimento</t>
  </si>
  <si>
    <t xml:space="preserve">CAIXA APLICADO EM ATIVIDADES DE INVESTIMENTO</t>
  </si>
  <si>
    <t xml:space="preserve">FREE CASH FLOW (Op + Inv) — métrica analítica</t>
  </si>
  <si>
    <t xml:space="preserve">ATIVIDADES DE FINANCIAMENTO</t>
  </si>
  <si>
    <t xml:space="preserve">Capital integralizado / outras movimentações de financiamento (residual)</t>
  </si>
  <si>
    <t xml:space="preserve">Pagamento de empréstimos</t>
  </si>
  <si>
    <t xml:space="preserve">Pagamento de impostos parcelados (PROFUT/PERSE)</t>
  </si>
  <si>
    <t xml:space="preserve">Pagamento de outorga (concessão Maracanã, só Consolidado)</t>
  </si>
  <si>
    <t xml:space="preserve">Dividendos pagos ao não-controlador (Fla-Flu → Fluminense)</t>
  </si>
  <si>
    <t xml:space="preserve">CAIXA APLICADO EM ATIVIDADES DE FINANCIAMENTO</t>
  </si>
  <si>
    <t xml:space="preserve">VARIAÇÃO DO CAIXA NO EXERCÍCIO</t>
  </si>
  <si>
    <t xml:space="preserve">VARIAÇÃO LÍQUIDA DO CAIXA</t>
  </si>
  <si>
    <t xml:space="preserve">Caixa LIVRE no início do exercício</t>
  </si>
  <si>
    <t xml:space="preserve">Caixa LIVRE no fim do exercício (= BP linha 7)</t>
  </si>
  <si>
    <t xml:space="preserve">VERIFICAÇÃO: Variação líquida − (Final − Inicial) = 0</t>
  </si>
  <si>
    <t xml:space="preserve">RECONCILIAÇÃO ANALÍTICA — Capex de atletas: caixa vs contábil</t>
  </si>
  <si>
    <t xml:space="preserve">Capex CONTÁBIL de atletas (adições intangível NE 7)</t>
  </si>
  <si>
    <t xml:space="preserve">(-) Pagamento CAIXA de jogadores (DFC investimento)</t>
  </si>
  <si>
    <t xml:space="preserve">Financiamento via C/P jogadores (clubes vendedores)</t>
  </si>
  <si>
    <t xml:space="preserve">• 2022: DFC não detalhada no handoff — todas as linhas e totais ficaram em branco. Vinicius preenche com base no PDF auditado se quiser detalhe completo.</t>
  </si>
  <si>
    <t xml:space="preserve">• 2023: totais Op/Inv/Fin reportados como hardcode (Op 351.089 / Inv -312.929 / Fin -40.560), sem detalhamento linha-a-linha.</t>
  </si>
  <si>
    <t xml:space="preserve">• Linha 23 ('Outras variações líquidas') é RESIDUAL — absorve variações em depósitos judiciais, contingências, despesas antecipadas, estoques, ajustes de AVP, var. cambial não-caixa e outros itens não detalhados linha-a-linha. Calibrada para fechar com o caixa operacional reportado.</t>
  </si>
  <si>
    <t xml:space="preserve">• Linha 12 NOVA em 2025: 'Baixa de custos com aquisição de direitos federativos' = R$ 197.912 = soma das baixas em NE 7 (direitos federativos 196.708 + atletas profissionais formados 1.204).</t>
  </si>
  <si>
    <t xml:space="preserve">• Linha 13 NOVA em 2025 (consol): amortização da outorga Maracanã (R$ 9.434), conforme NE 7.1.</t>
  </si>
  <si>
    <t xml:space="preserve">• Linha 15 NOVA em 2025: AVP dos forwards cambiais (sinal invertido para o caixa, pois já está no resultado).</t>
  </si>
  <si>
    <t xml:space="preserve">• Linha 32 NOVA em 2025 (consol): Investimento em aquisição de bem público (R$ 20.458) — segunda parcela de outorga Maracanã capitalizada.</t>
  </si>
  <si>
    <t xml:space="preserve">• Linha 24 NOVA em 2025 (consol): 'Outorga concessão em capital de giro' (R$ 20.107) — recebimento prévio relacionado à concessão.</t>
  </si>
  <si>
    <t xml:space="preserve">• Linha 45 (NOVO 2025): Dividendos pagos pela Fla-Flu ao Fluminense (R$ 5.358). Para o Flamengo, o dividendo equivalente (R$ 9.951) NÃO transitou em caixa em 2025 — está em C/R no balanço.</t>
  </si>
  <si>
    <t xml:space="preserve">• Capex CONTÁBIL de atletas em 2025: R$ 635.605 (linha 56). Capex CAIXA: R$ 507.575 (linha 57). Diferença R$ 128.030 = financiamento via fornecedores (linha 58).</t>
  </si>
  <si>
    <t xml:space="preserve">• Free Cash Flow virou positivo em 2025 (Cont +R$ 82.142 / Consol +R$ 122.012) vs negativo em 2024 (Cont -R$ 156.132 / Consol -R$ 138.007). Swing de +R$ 238 mi na controladora.</t>
  </si>
  <si>
    <t xml:space="preserve">• Verificação na linha 53 deve ser zero em todas as colunas — exceto 2022 (sem dados detalhados).</t>
  </si>
  <si>
    <t xml:space="preserve">• Linha 41 (Capital integralizado / outras mov. financiamento) é RESIDUAL no 2025 Consol — captura R$ 12.038 de captações não detalhadas no handoff (provavelmente integralização adicional do Fluminense para completar capital social Fla-Flu, ou variações em passivos de financiamento da Fla-Flu).</t>
  </si>
  <si>
    <t xml:space="preserve">Clube de Regatas do Flamengo — Operacional Puro: EBITDA Recorrente Puro</t>
  </si>
  <si>
    <t xml:space="preserve">Reconciliação do EBITDA reportado para o EBITDA limpo de eventos não-recorrentes | R$ milhares nominais</t>
  </si>
  <si>
    <t xml:space="preserve">RECONSTRUÇÃO DO EBITDA REPORTADO</t>
  </si>
  <si>
    <t xml:space="preserve">Resultado operacional antes do financeiro (= DRE!18)</t>
  </si>
  <si>
    <t xml:space="preserve">(+) Amortização de direitos sobre atletas (= DFC!10)</t>
  </si>
  <si>
    <t xml:space="preserve">(+) Depreciação imobilizado e outras amortizações (= DFC!11)</t>
  </si>
  <si>
    <t xml:space="preserve">EBITDA REPORTADO</t>
  </si>
  <si>
    <t xml:space="preserve">AJUSTES NÃO-RECORRENTES (a subtrair do EBITDA reportado)</t>
  </si>
  <si>
    <t xml:space="preserve">(-) Ganho líquido com venda de atletas</t>
  </si>
  <si>
    <t xml:space="preserve">(-) Ganho na venda de unidades Hilton Rio By Yoo</t>
  </si>
  <si>
    <t xml:space="preserve">(-) Prêmio FIFA Mundial de Clubes 2025 (não-recorrente)</t>
  </si>
  <si>
    <t xml:space="preserve">(-) Prêmio FIFA Intercontinental 2025 (não-recorrente)</t>
  </si>
  <si>
    <t xml:space="preserve">(-) Reversão líquida de contingências 2025</t>
  </si>
  <si>
    <t xml:space="preserve">(-) Desconto PERSE em Outras receitas operacionais (2023)</t>
  </si>
  <si>
    <t xml:space="preserve">21</t>
  </si>
  <si>
    <t xml:space="preserve">(-) Acordo BACEN líquido (reversão R$ 83 mi - pagamento R$ 25,5 mi)</t>
  </si>
  <si>
    <t xml:space="preserve">(-) Prêmio Mundial de Clubes 2022 (formato antigo)</t>
  </si>
  <si>
    <t xml:space="preserve">Total dos ajustes não-recorrentes</t>
  </si>
  <si>
    <t xml:space="preserve">EBITDA RECORRENTE PURO</t>
  </si>
  <si>
    <t xml:space="preserve">INDICADORES — Receita Recorrente e Margens</t>
  </si>
  <si>
    <t xml:space="preserve">Receita Operacional Líquida (= DRE!6)</t>
  </si>
  <si>
    <t xml:space="preserve">(-) Efeito FIFA 2025 (Mundial + Intercontinental, da Rec. Detalhada!56)</t>
  </si>
  <si>
    <t xml:space="preserve">RECEITA RECORRENTE LÍQUIDA</t>
  </si>
  <si>
    <t xml:space="preserve">Margem EBITDA Reportado / Receita Operacional Líquida</t>
  </si>
  <si>
    <t xml:space="preserve">Margem EBITDA Recorrente Puro / Receita Recorrente Líquida</t>
  </si>
  <si>
    <t xml:space="preserve">FOLHA AMPLIADA — Condição 1</t>
  </si>
  <si>
    <t xml:space="preserve">Salários, encargos e benefícios (CMV — futebol)</t>
  </si>
  <si>
    <t xml:space="preserve">Direito de imagem (CMV — futebol)</t>
  </si>
  <si>
    <t xml:space="preserve">FOLHA AMPLIADA TOTAL (salários + DI, sem amort. atletas)</t>
  </si>
  <si>
    <t xml:space="preserve">Folha ampliada / Receita Operacional Líquida</t>
  </si>
  <si>
    <t xml:space="preserve">Folha ampliada / Receita Recorrente (CONDIÇÃO 1 — limite 65%)</t>
  </si>
  <si>
    <t xml:space="preserve">CAPEX vs VENDAS DE ATLETAS — Condição 3</t>
  </si>
  <si>
    <t xml:space="preserve">Capex contábil de atletas (= DFC!56)</t>
  </si>
  <si>
    <t xml:space="preserve">Receita de venda de atletas (federativos + sol. + empréstimos)</t>
  </si>
  <si>
    <t xml:space="preserve">Capex atletas / Vendas atletas (CONDIÇÃO 3 — limite 1,0x)</t>
  </si>
  <si>
    <t xml:space="preserve">SENSIBILIDADE 2025 — Cenário SEM Mundial+Intercontinental (eixo do post)</t>
  </si>
  <si>
    <t xml:space="preserve">Esta seção materializa a tese do post: o quanto da Receita Recorrente e do EBITDA Puro depende dos R$ 174.200 da FIFA 2025</t>
  </si>
  <si>
    <t xml:space="preserve">2025 Cont — Cenário SEM Mundial+Intercontinental:</t>
  </si>
  <si>
    <t xml:space="preserve">  Receita Recorrente Líquida (já sem FIFA 2025) - linha 31</t>
  </si>
  <si>
    <t xml:space="preserve">  EBITDA Recorrente Puro 2025 Cont (linha 26)</t>
  </si>
  <si>
    <t xml:space="preserve">  Receita Op Líquida REPORTADA 2025 Cont (linha 29)</t>
  </si>
  <si>
    <t xml:space="preserve">  Diferença (efeito FIFA 2025 isolado) — linha 30</t>
  </si>
  <si>
    <t xml:space="preserve">  Margem EBITDA Recorrente Puro 2025 Cont (linha 34 G):</t>
  </si>
  <si>
    <t xml:space="preserve">  Margem EBITDA Reportado 2025 Cont (linha 33 G):</t>
  </si>
  <si>
    <t xml:space="preserve">• EBITDA REPORTADO calculado conforme convenção da série: Resultado Operacional antes do Financeiro + Amortização atletas + Depreciação outras.</t>
  </si>
  <si>
    <t xml:space="preserve">• Pode haver diferença vs EBITDA reportado pelo clube nos relatórios IPCA-corrigidos: o clube parece incluir 'baixa direitos econômicos formação' como parte da amortização (~R$ 18 mi em 2022), o que aumenta o EBITDA em ~R$ 18 mi.</t>
  </si>
  <si>
    <t xml:space="preserve">• Linhas 7-9 puxam direto da DRE e DFC (verdes) — alterar nas abas-fonte propaga aqui.</t>
  </si>
  <si>
    <t xml:space="preserve">• AJUSTES NÃO-RECORRENTES isolam: vendas de atletas (todos os anos), Hilton, equivalência Fla-Flu, prêmios FIFA Mundial e Intercontinental 2025, reversão de contingências 2025, desconto PERSE 2023 (parte que entrou em Outras Op., não no financeiro), acordo BACEN 2022, prêmio Mundial 2022 (formato antigo, ~USD 2M).</t>
  </si>
  <si>
    <t xml:space="preserve">• Para 2022 Acordo BACEN: efeito líquido +R$ 57,5 mi = reversão de provisão R$ 83 mi - pagamento da multa R$ 25,5 mi. O pagamento já reduzia 'Outras despesas op' na DRE, então no EBITDA o efeito é positivo R$ 57,5 mi.</t>
  </si>
  <si>
    <t xml:space="preserve">• Eq. patrimonial Fla-Flu aparece apenas na Controladora (no Consol está integrada linha por linha).</t>
  </si>
  <si>
    <t xml:space="preserve">• Efeito FIFA 2025 (linha 30) é o número-chave do eixo: R$ 174.200 que potencialmente não se repete em 2026, 2027, 2028. Próximo Mundial só em 2029.</t>
  </si>
  <si>
    <t xml:space="preserve">• CONDIÇÃO 1 (linha 43): Folha ampliada / Receita Recorrente — limite 65%. Para 2024 e 2025, a margem está saudável (~46-48% vs limite 65%).</t>
  </si>
  <si>
    <t xml:space="preserve">• CONDIÇÃO 3 (linha 49): Capex / Vendas — limite 1,0x. Falhou gritantemente em 2024 (4,06x) e passou apertado em 2025 (1,23x).</t>
  </si>
  <si>
    <t xml:space="preserve">• Salários Consol 2025 (linha 37) estimado em R$ 540 mi (Cont R$ 525 mi + ~R$ 15 mi pessoal Fla-Flu). Handoff não desagrega, ajustar se tiver detalhe.</t>
  </si>
  <si>
    <t xml:space="preserve">• Sensibilidade 2025 sem FIFA (linhas 54-58): mostra a Receita Recorrente 'limpa' que serve como piso estrutural para projeções 2026-2027.</t>
  </si>
  <si>
    <t xml:space="preserve">• A margem EBITDA Recorrente Puro é a métrica central do eixo — captura 'o que sobraria em um ano normal'.</t>
  </si>
  <si>
    <t xml:space="preserve">Clube de Regatas do Flamengo — Indicadores</t>
  </si>
  <si>
    <t xml:space="preserve">Síntese consolidada das métricas-chave para o post | R$ milhares nominais</t>
  </si>
  <si>
    <t xml:space="preserve">Indicador</t>
  </si>
  <si>
    <t xml:space="preserve">Unidade</t>
  </si>
  <si>
    <t xml:space="preserve">SÍNTESE DAS 4 CONDIÇÕES DE COMPETITIVIDADE FINANCEIRA</t>
  </si>
  <si>
    <t xml:space="preserve">CONDIÇÃO 1: Folha ampliada / Receita Recorrente</t>
  </si>
  <si>
    <t xml:space="preserve">≤ 65%</t>
  </si>
  <si>
    <t xml:space="preserve">  → Status</t>
  </si>
  <si>
    <t xml:space="preserve">CONDIÇÃO 2: Margem EBITDA Recorrente Puro</t>
  </si>
  <si>
    <t xml:space="preserve">≥ 5%</t>
  </si>
  <si>
    <t xml:space="preserve">CONDIÇÃO 3: Capex atletas / Vendas atletas</t>
  </si>
  <si>
    <t xml:space="preserve">≤ 1,0x</t>
  </si>
  <si>
    <t xml:space="preserve">CONDIÇÃO 4: Caixa final / Saída op. mensal</t>
  </si>
  <si>
    <t xml:space="preserve">≥ 1,0 mês</t>
  </si>
  <si>
    <t xml:space="preserve">RECEITA E CRESCIMENTO</t>
  </si>
  <si>
    <t xml:space="preserve">R$ mil</t>
  </si>
  <si>
    <t xml:space="preserve">(-) Efeito FIFA 2025 (Mundial + Intercontinental)</t>
  </si>
  <si>
    <t xml:space="preserve">Receita Recorrente Líquida</t>
  </si>
  <si>
    <t xml:space="preserve">  Crescimento YoY Receita Recorrente Líquida</t>
  </si>
  <si>
    <t xml:space="preserve">%</t>
  </si>
  <si>
    <t xml:space="preserve">-</t>
  </si>
  <si>
    <t xml:space="preserve">RESULTADO E MARGENS</t>
  </si>
  <si>
    <t xml:space="preserve">Superávit/(Déficit) do exercício (= DRE!28)</t>
  </si>
  <si>
    <t xml:space="preserve">EBITDA Reportado (= Op. Puro!11)</t>
  </si>
  <si>
    <t xml:space="preserve">EBITDA Recorrente Puro (= Op. Puro!26)</t>
  </si>
  <si>
    <t xml:space="preserve">Margem EBITDA Reportado</t>
  </si>
  <si>
    <t xml:space="preserve">Margem EBITDA Recorrente Puro</t>
  </si>
  <si>
    <t xml:space="preserve">ESTRUTURA FINANCEIRA — CAIXA E DÍVIDA OPERACIONAL</t>
  </si>
  <si>
    <t xml:space="preserve">Caixa LIVRE (BP!7)</t>
  </si>
  <si>
    <t xml:space="preserve">Caixa restrito (BP!8)</t>
  </si>
  <si>
    <t xml:space="preserve">Caixa TOTAL (livre + restrito)</t>
  </si>
  <si>
    <t xml:space="preserve">C/P jogadores total (CP + LP)</t>
  </si>
  <si>
    <t xml:space="preserve">C/R jogadores total (CP + LP)</t>
  </si>
  <si>
    <t xml:space="preserve">Parcelamentos PROFUT + PERSE</t>
  </si>
  <si>
    <t xml:space="preserve">Empréstimos bancários (BP!33 + BP!42)</t>
  </si>
  <si>
    <t xml:space="preserve">DÍVIDA OPERACIONAL LÍQUIDA (DOL)</t>
  </si>
  <si>
    <t xml:space="preserve">Alavancagem (DOL / EBITDA Reportado)</t>
  </si>
  <si>
    <t xml:space="preserve">x</t>
  </si>
  <si>
    <t xml:space="preserve">CAPITAL DE GIRO</t>
  </si>
  <si>
    <t xml:space="preserve">Ativo Circulante (BP!14)</t>
  </si>
  <si>
    <t xml:space="preserve">Passivo Circulante (BP!38)</t>
  </si>
  <si>
    <t xml:space="preserve">Capital Circulante Líquido (CCL)</t>
  </si>
  <si>
    <t xml:space="preserve">Liquidez Corrente (AC / PC)</t>
  </si>
  <si>
    <t xml:space="preserve">CAPEX E VENDAS DE ATLETAS</t>
  </si>
  <si>
    <t xml:space="preserve">Capex contábil de atletas (= Op. Puro!46)</t>
  </si>
  <si>
    <t xml:space="preserve">Receita de venda de atletas (= Op. Puro!47)</t>
  </si>
  <si>
    <t xml:space="preserve">Capex líquido (Capex − Vendas)</t>
  </si>
  <si>
    <t xml:space="preserve">Capex / Vendas (Condição 3)</t>
  </si>
  <si>
    <t xml:space="preserve">FOLHA AMPLIADA</t>
  </si>
  <si>
    <t xml:space="preserve">Folha ampliada total (= Op. Puro!40)</t>
  </si>
  <si>
    <t xml:space="preserve">Folha / Receita Op Líquida (= Op. Puro!42)</t>
  </si>
  <si>
    <t xml:space="preserve">Folha / Receita Recorrente (Condição 1)</t>
  </si>
  <si>
    <t xml:space="preserve">Patrimônio líquido total (= BP!56)</t>
  </si>
  <si>
    <t xml:space="preserve">  Crescimento YoY PL</t>
  </si>
  <si>
    <t xml:space="preserve">GERAÇÃO DE CAIXA</t>
  </si>
  <si>
    <t xml:space="preserve">Caixa Operacional (= DFC!27)</t>
  </si>
  <si>
    <t xml:space="preserve">Caixa Investimento (= DFC!36)</t>
  </si>
  <si>
    <t xml:space="preserve">Free Cash Flow (Op + Inv)</t>
  </si>
  <si>
    <t xml:space="preserve">Capex CAIXA atletas (= DFC!30 invertido)</t>
  </si>
  <si>
    <t xml:space="preserve">• Síntese das 4 Condições no topo: PASSA (verde) = margem confortável; APERTADO (amarelo) = no limite; FALHA (vermelho) = condição não atendida.</t>
  </si>
  <si>
    <t xml:space="preserve">• Critério COND 1: folha ≤ 50% PASSA; 50-65% APERTADO; &gt;65% FALHA.</t>
  </si>
  <si>
    <t xml:space="preserve">• Critério COND 2: margem EBITDA Rec. Puro ≥ 10% PASSA; 5-10% APERTADO; &lt;5% FALHA.</t>
  </si>
  <si>
    <t xml:space="preserve">• Critério COND 3: Capex/Vendas ≤ 1,0x PASSA; 1,0-1,5x APERTADO; &gt;1,5x FALHA.</t>
  </si>
  <si>
    <t xml:space="preserve">• Critério COND 4: Caixa total / Saída op. mensal ≥ 2 meses PASSA; 1-2 meses APERTADO; &lt;1 mês FALHA.</t>
  </si>
  <si>
    <t xml:space="preserve">• DOL (linha 41) calculada como: Empréstimos + Parcelamentos PROFUT/PERSE + C/P jogadores − C/R jogadores − Caixa livre.</t>
  </si>
  <si>
    <t xml:space="preserve">• DOL CALCULADA pode divergir do REPORTADO pelo clube (R$ 174 mi IPCA 2025 Consol vs ~189 mi calculado nominal). Diferença vem da metodologia (clube possivelmente usa outra base ou ajustes IPCA).</t>
  </si>
  <si>
    <t xml:space="preserve">• C/P jogadores Cont 2024 e 2025: BP Cont agrega Fornecedores + C/P jogadores numa linha (R$ 561.080 em 2025). Para Consol, usamos a NE 9 que destaca jogadores apenas (R$ 497.310). Para Cont, valor pode estar levemente sobrestimado.</t>
  </si>
  <si>
    <t xml:space="preserve">• Parcelamentos 2022 (R$ 210.000) é estimativa — handoff não tem NE 10 detalhada para 2022.</t>
  </si>
  <si>
    <t xml:space="preserve">• Crescimento YoY do PL 2025 Cont: +54% (de 618 para 954 mi) — o maior salto histórico.</t>
  </si>
  <si>
    <t xml:space="preserve">• Alavancagem (linha 42) caiu de 1,21x (2024) para 0,30x (2025) — efeito da explosão do EBITDA Reportado por premiações FIFA.</t>
  </si>
  <si>
    <t xml:space="preserve">• EBITDA Recorrente Puro 2025 (R$ 83 mi) NÃO sustenta o nível de DOL atual sem novas vendas grandes. Esse é o vetor de fragilidade central para 2026-2027.</t>
  </si>
  <si>
    <t xml:space="preserve">Premissas Runway — Cenários 2026-2027</t>
  </si>
  <si>
    <t xml:space="preserve">Células em AMARELO são editáveis | R$ milhares nominais | Base: realizado 2025 Consolidado</t>
  </si>
  <si>
    <t xml:space="preserve">Premissa</t>
  </si>
  <si>
    <t xml:space="preserve">Realizado 2025</t>
  </si>
  <si>
    <t xml:space="preserve">CENÁRIO OTIMISTA</t>
  </si>
  <si>
    <t xml:space="preserve">CENÁRIO BASE</t>
  </si>
  <si>
    <t xml:space="preserve">CENÁRIO PESSIMISTA</t>
  </si>
  <si>
    <t xml:space="preserve">2026</t>
  </si>
  <si>
    <t xml:space="preserve">2027</t>
  </si>
  <si>
    <t xml:space="preserve">CENÁRIOS ESPORTIVOS — descrição qualitativa</t>
  </si>
  <si>
    <t xml:space="preserve">Brasileirão</t>
  </si>
  <si>
    <t xml:space="preserve">Campeão</t>
  </si>
  <si>
    <t xml:space="preserve">Top 2</t>
  </si>
  <si>
    <t xml:space="preserve">Top 4</t>
  </si>
  <si>
    <t xml:space="preserve">Top 6</t>
  </si>
  <si>
    <t xml:space="preserve">Libertadores</t>
  </si>
  <si>
    <t xml:space="preserve">Semifinal</t>
  </si>
  <si>
    <t xml:space="preserve">Final</t>
  </si>
  <si>
    <t xml:space="preserve">Quartas</t>
  </si>
  <si>
    <t xml:space="preserve">Oitavas</t>
  </si>
  <si>
    <t xml:space="preserve">Fora</t>
  </si>
  <si>
    <t xml:space="preserve">Copa do Brasil</t>
  </si>
  <si>
    <t xml:space="preserve">Carioca</t>
  </si>
  <si>
    <t xml:space="preserve">Eventos FIFA (Mundial 2029 / Intercontinental anual)</t>
  </si>
  <si>
    <t xml:space="preserve">Mundial+Intercont.</t>
  </si>
  <si>
    <t xml:space="preserve">Intercont.</t>
  </si>
  <si>
    <t xml:space="preserve">RECEITA — Crescimento por categoria (% YoY sobre o ano anterior)</t>
  </si>
  <si>
    <t xml:space="preserve">Broadcast (transmissão + premiações sem FIFA + mídia)</t>
  </si>
  <si>
    <t xml:space="preserve">Comercial (patrocínio + licenciamento)</t>
  </si>
  <si>
    <t xml:space="preserve">Matchday (bilheteria + sócio + estádio + camarotes)</t>
  </si>
  <si>
    <t xml:space="preserve">Diversos (clube social + amadores + tour Maracanã)</t>
  </si>
  <si>
    <t xml:space="preserve">PREMIAÇÕES NÃO-RECORRENTES FIFA — R$ mil nominais</t>
  </si>
  <si>
    <t xml:space="preserve">Prêmio FIFA Mundial (anual, R$ mil)</t>
  </si>
  <si>
    <t xml:space="preserve">Prêmio FIFA Intercontinental (anual, R$ mil)</t>
  </si>
  <si>
    <t xml:space="preserve">FOLHA AMPLIADA — Crescimento YoY</t>
  </si>
  <si>
    <t xml:space="preserve">Folha ampliada (% YoY sobre o ano anterior) — base R$ 711 mi 2025 Consol</t>
  </si>
  <si>
    <t xml:space="preserve">CAPEX E VENDAS DE ATLETAS — R$ mil nominais</t>
  </si>
  <si>
    <t xml:space="preserve">Capex contábil de atletas (R$ mil)</t>
  </si>
  <si>
    <t xml:space="preserve">Receita de venda de atletas (R$ mil)</t>
  </si>
  <si>
    <t xml:space="preserve">OUTROS CUSTOS E DESPESAS — Crescimento YoY</t>
  </si>
  <si>
    <t xml:space="preserve">Gastos com jogos e competições</t>
  </si>
  <si>
    <t xml:space="preserve">Outros custos pulverizados (materiais, manutenção, serviços)</t>
  </si>
  <si>
    <t xml:space="preserve">AMORTIZAÇÕES</t>
  </si>
  <si>
    <t xml:space="preserve">Amortização atletas — % do Capex contábil do ano</t>
  </si>
  <si>
    <t xml:space="preserve">Depreciação imobilizado e outras amortizações</t>
  </si>
  <si>
    <t xml:space="preserve">OUTROS ITENS RELEVANTES</t>
  </si>
  <si>
    <t xml:space="preserve">Resultado financeiro líquido (R$ mil)</t>
  </si>
  <si>
    <t xml:space="preserve">Equivalência patrimonial Fla-Flu (Cont — informativo)</t>
  </si>
  <si>
    <t xml:space="preserve">Reversão líquida de contingências (assume zero recorrente)</t>
  </si>
  <si>
    <t xml:space="preserve">Ganho Hilton Rio By Yoo (estimativa, R$ mil)</t>
  </si>
  <si>
    <t xml:space="preserve">Pagamento de parcelamentos PROFUT/PERSE</t>
  </si>
  <si>
    <t xml:space="preserve">Pagamento de outorga Maracanã (Consolidado)</t>
  </si>
  <si>
    <t xml:space="preserve">• Premissas em AMARELO são editáveis — todos os cenários podem ser ajustados.</t>
  </si>
  <si>
    <t xml:space="preserve">• REALIZADO 2025 (coluna B) é referência fixa — não editar.</t>
  </si>
  <si>
    <t xml:space="preserve">• Otimista: ciclo continua girando — títulos sustentam premiações, base entrega novos vendáveis, Capex agressivo se autofinancia via vendas.</t>
  </si>
  <si>
    <t xml:space="preserve">• Base: estabilização — ciclo desacelera mas não inverte. Premiações caem (sem Mundial), folha pressiona, vendas moderadas.</t>
  </si>
  <si>
    <t xml:space="preserve">• Pessimista: ciclo inverte — sem títulos, sem premiações altas, Capex contrai, base estagna, folha já contratada continua subindo. Demonstra a fragilidade central do eixo.</t>
  </si>
  <si>
    <t xml:space="preserve">• Capex 2026 (todos os cenários) já incorpora o que SE SABE: Paquetá R$ 270 mi + Vitor Eduardo + Andrew = ~R$ 320 mi confirmado em janeiro/2026. Pessimista assume zero novo Capex pelo resto do ano.</t>
  </si>
  <si>
    <t xml:space="preserve">• Folha já está parcialmente contratada para 2026 — mesmo no Pessimista, o crescimento mínimo é +4% (custo de contratos vigentes + 13º salário + reajustes de equipe administrativa).</t>
  </si>
  <si>
    <t xml:space="preserve">• Eventos FIFA (linhas 21-22): Mundial só em 2029. Intercontinental anual depende de ganhar Libertadores anterior — Otimista assume continuidade, Base assume só 2027, Pessimista assume zero.</t>
  </si>
  <si>
    <t xml:space="preserve">• Amortização de atletas: proxy de 40-45% do Capex do ano (compatível com vida útil média de 2-3 anos dos contratos).</t>
  </si>
  <si>
    <t xml:space="preserve">• Cronograma PROFUT/PERSE 2026 e 2027: R$ 15.832/ano cada (handoff NE 10), independente do cenário.</t>
  </si>
  <si>
    <t xml:space="preserve">• Estes valores alimentam a aba Modelo Runway — alterações aqui propagam automaticamente.</t>
  </si>
  <si>
    <t xml:space="preserve">Modelo Runway — Projeções 2026 e 2027 nos 3 Cenários</t>
  </si>
  <si>
    <t xml:space="preserve">DFC simplificada | R$ milhares nominais | Base Consolidado | Toda linha azul puxa de Premissas Runway</t>
  </si>
  <si>
    <t xml:space="preserve">RECEITA RECORRENTE (sem efeitos FIFA Mundial/Intercontinental)</t>
  </si>
  <si>
    <t xml:space="preserve">(=) RECEITA RECORRENTE BRUTA</t>
  </si>
  <si>
    <t xml:space="preserve">(-) Deduções (PIS folha + INSS receita ~5%)</t>
  </si>
  <si>
    <t xml:space="preserve">RECEITA RECORRENTE LÍQUIDA (sem FIFA)</t>
  </si>
  <si>
    <t xml:space="preserve">EFEITO FIFA NÃO-RECORRENTE</t>
  </si>
  <si>
    <t xml:space="preserve">(+) Prêmio FIFA Mundial (= Premissas!21)</t>
  </si>
  <si>
    <t xml:space="preserve">(+) Prêmio FIFA Intercontinental (= Premissas!22)</t>
  </si>
  <si>
    <t xml:space="preserve">(=) RECEITA OPERACIONAL LÍQUIDA TOTAL</t>
  </si>
  <si>
    <t xml:space="preserve">CUSTOS OPERACIONAIS</t>
  </si>
  <si>
    <t xml:space="preserve">(-) Folha ampliada (salários + DI)</t>
  </si>
  <si>
    <t xml:space="preserve">(-) Gastos com jogos e competições</t>
  </si>
  <si>
    <t xml:space="preserve">(-) Despesas administrativas</t>
  </si>
  <si>
    <t xml:space="preserve">(-) Despesas comerciais</t>
  </si>
  <si>
    <t xml:space="preserve">(-) Outros custos pulverizados</t>
  </si>
  <si>
    <t xml:space="preserve">Total custos operacionais (ex-amortização)</t>
  </si>
  <si>
    <t xml:space="preserve">EBITDA PROJETADO</t>
  </si>
  <si>
    <t xml:space="preserve">EBITDA OPERACIONAL (Receita Total - Custos)</t>
  </si>
  <si>
    <t xml:space="preserve">EBITDA RECORRENTE PURO (sem FIFA)</t>
  </si>
  <si>
    <t xml:space="preserve">  Margem EBITDA Recorrente Puro / Rec. Recorrente Líquida</t>
  </si>
  <si>
    <t xml:space="preserve">VENDA DE ATLETAS E AJUSTES NÃO-OPERACIONAIS</t>
  </si>
  <si>
    <t xml:space="preserve">(+) Receita líquida venda de atletas (= Premissas!29)</t>
  </si>
  <si>
    <t xml:space="preserve">  (Ganho líquido estimado — margem média 51% sobre vendas)</t>
  </si>
  <si>
    <t xml:space="preserve">(+) Equivalência Fla-Flu + Ganho Hilton (= Premissas!43+45)</t>
  </si>
  <si>
    <t xml:space="preserve">(+) Resultado financeiro líquido (= Premissas!42)</t>
  </si>
  <si>
    <t xml:space="preserve">CAPEX DE ATLETAS</t>
  </si>
  <si>
    <t xml:space="preserve">(-) Capex contábil atletas (= Premissas!28)</t>
  </si>
  <si>
    <t xml:space="preserve">  (Pagamento CAIXA estimado: Capex × 80%)</t>
  </si>
  <si>
    <t xml:space="preserve">CAIXA OPERACIONAL SIMPLIFICADO (proxy do Free Cash Flow)</t>
  </si>
  <si>
    <t xml:space="preserve">Caixa Operacional Proxy = EBITDA + Ganho Vendas + Outros + Financ.</t>
  </si>
  <si>
    <t xml:space="preserve">(-) Capex CAIXA (= 80% do Capex contábil)</t>
  </si>
  <si>
    <t xml:space="preserve">(-) Pagamento parcelamentos PROFUT/PERSE</t>
  </si>
  <si>
    <t xml:space="preserve">(-) Pagamento outorga Maracanã (Consol)</t>
  </si>
  <si>
    <t xml:space="preserve">VARIAÇÃO DE CAIXA E SALDO FINAL</t>
  </si>
  <si>
    <t xml:space="preserve">Caixa total inicial (livre + restrito)</t>
  </si>
  <si>
    <t xml:space="preserve">CAIXA TOTAL FINAL (livre + restrito)</t>
  </si>
  <si>
    <t xml:space="preserve">• Modelo DFC simplificado: NÃO é uma DFC completa nos moldes contábeis — é um proxy para análise de runway e sustentabilidade do caixa.</t>
  </si>
  <si>
    <t xml:space="preserve">• Toda linha em VERDE puxa direto de Premissas Runway. Alterações lá propagam aqui imediatamente.</t>
  </si>
  <si>
    <t xml:space="preserve">• Linha 30: 'Total custos operacionais' não inclui amortização de atletas (que não é caixa).</t>
  </si>
  <si>
    <t xml:space="preserve">• Linha 39: 'Ganho líquido venda atletas' usa margem média de 51% sobre a receita bruta de venda (média 2022-2025: ganho/receita varia de 44% a 73%).</t>
  </si>
  <si>
    <t xml:space="preserve">• Linha 45: 'Pagamento CAIXA' assume 80% do Capex contábil — proporção observada em 2024 (92%) e 2025 (80%).</t>
  </si>
  <si>
    <t xml:space="preserve">• Linha 48: 'Caixa Operacional Proxy' é uma aproximação grosseira — ignora variações de capital de giro (C/R jogadores, C/P jogadores não pagos no ano, adiantamentos).</t>
  </si>
  <si>
    <t xml:space="preserve">• Resultado financeiro líquido é input direto das Premissas — em cenário pessimista, vira negativo por aumento de correção monetária dos parcelamentos.</t>
  </si>
  <si>
    <t xml:space="preserve">• Para fechar Δ caixa real, há outros componentes (financiamento via C/P jogadores como entrada, variação capital de giro, etc.) — não modelados aqui por simplicidade.</t>
  </si>
  <si>
    <t xml:space="preserve">• Para análise narrativa do post, o que importa é: EBITDA Recorrente Puro (linha 34), Margem EBITDA (linha 35), e Caixa final (linha 56) em cada cenário.</t>
  </si>
  <si>
    <t xml:space="preserve">• Cenário Pessimista mostra a fragilidade do modelo: sem ciclo virtuoso de premiações + Capex, o EBITDA Puro e o caixa final encolhem rapidamente.</t>
  </si>
  <si>
    <t xml:space="preserve">Resumo Cenários — Visão Consolidada 2025-2027</t>
  </si>
  <si>
    <t xml:space="preserve">Indicadores-chave em cada cenário | Toda linha em verde puxa de Modelo Runway</t>
  </si>
  <si>
    <t xml:space="preserve">Real. 2025</t>
  </si>
  <si>
    <t xml:space="preserve">OTIMISTA</t>
  </si>
  <si>
    <t xml:space="preserve">BASE</t>
  </si>
  <si>
    <t xml:space="preserve">PESSIMISTA</t>
  </si>
  <si>
    <t xml:space="preserve">RECEITA</t>
  </si>
  <si>
    <t xml:space="preserve">Receita Recorrente Líquida (sem FIFA)</t>
  </si>
  <si>
    <t xml:space="preserve">(+) Prêmio FIFA Mundial</t>
  </si>
  <si>
    <t xml:space="preserve">(+) Prêmio FIFA Intercontinental</t>
  </si>
  <si>
    <t xml:space="preserve">Receita Operacional Líquida TOTAL</t>
  </si>
  <si>
    <t xml:space="preserve">EBITDA E RENTABILIDADE</t>
  </si>
  <si>
    <t xml:space="preserve">EBITDA Operacional Total</t>
  </si>
  <si>
    <t xml:space="preserve">ATLETAS (RECEITA E CAPEX)</t>
  </si>
  <si>
    <t xml:space="preserve">Receita venda atletas</t>
  </si>
  <si>
    <t xml:space="preserve">Capex contábil atletas</t>
  </si>
  <si>
    <t xml:space="preserve">Capex LÍQUIDO (Capex - Vendas)</t>
  </si>
  <si>
    <t xml:space="preserve">CAIXA E VARIAÇÃO</t>
  </si>
  <si>
    <t xml:space="preserve">Variação líquida do caixa no ano</t>
  </si>
  <si>
    <t xml:space="preserve">Caixa total inicial</t>
  </si>
  <si>
    <t xml:space="preserve">CAIXA TOTAL FINAL</t>
  </si>
  <si>
    <t xml:space="preserve">LEITURA NARRATIVA</t>
  </si>
  <si>
    <t xml:space="preserve">Capex / Vendas atletas (= Condição 3)</t>
  </si>
  <si>
    <t xml:space="preserve">Folha ampliada / Receita Recorrente (= Condição 1)</t>
  </si>
  <si>
    <t xml:space="preserve">Caixa final / Saídas operacionais mensais (= Condição 4)</t>
  </si>
  <si>
    <t xml:space="preserve">Notas:</t>
  </si>
  <si>
    <t xml:space="preserve">• Toda linha em VERDE puxa do Modelo Runway. Para alterar projeções, edite Premissas Runway.</t>
  </si>
  <si>
    <t xml:space="preserve">• Capex LÍQUIDO positivo = consumiu mais caixa em compras do que entrou com vendas; negativo = sobrou caixa.</t>
  </si>
  <si>
    <t xml:space="preserve">• Caixa final é o saldo total (livre + restrito) no fim do ano.</t>
  </si>
  <si>
    <t xml:space="preserve">• Esta aba é apenas leitura — saída sintética dos 3 cenários.</t>
  </si>
  <si>
    <t xml:space="preserve">Caminho A — Trajetória das 4 Condições nos Cenários</t>
  </si>
  <si>
    <t xml:space="preserve">Aplicação das 4 condições de competitividade aos cenários 2026-2027 | Status PASSA/APERTADO/FALHA por condição × ano × cenário</t>
  </si>
  <si>
    <t xml:space="preserve">Condição</t>
  </si>
  <si>
    <t xml:space="preserve">2024 (real)</t>
  </si>
  <si>
    <t xml:space="preserve">2025 (real)</t>
  </si>
  <si>
    <t xml:space="preserve">  Status</t>
  </si>
  <si>
    <t xml:space="preserve">CONDIÇÃO 4: Caixa final / Saídas op. mensais</t>
  </si>
  <si>
    <t xml:space="preserve">TRAJETÓRIA SINTÉTICA — Contagem de condições ATENDIDAS por cenário/ano</t>
  </si>
  <si>
    <t xml:space="preserve">Condições PASSA + APERTADO (em 4 totais)</t>
  </si>
  <si>
    <t xml:space="preserve">Condições em FALHA</t>
  </si>
  <si>
    <t xml:space="preserve">• Esta aba aplica as 4 Condições aos cenários do Modelo Runway, materializando o eixo 'Hegemonia condicional'.</t>
  </si>
  <si>
    <t xml:space="preserve">• Critérios iguais à aba Indicadores: limite 65% (COND 1), 5% (COND 2), 1,0x (COND 3), 1 mês (COND 4).</t>
  </si>
  <si>
    <t xml:space="preserve">• PASSA verde = margem confortável; APERTADO amarelo = no limite; FALHA vermelho = condição não atendida.</t>
  </si>
  <si>
    <t xml:space="preserve">• Linha 20: contagem total das condições em PASSA + APERTADO (4 = todas atendidas; 0 = todas falharam).</t>
  </si>
  <si>
    <t xml:space="preserve">• A degradação do número de condições atendidas, à medida que o cenário piora, é a evidência empírica do eixo do post.</t>
  </si>
  <si>
    <t xml:space="preserve">• Em cenário Pessimista, o número de condições atendidas tende a cair — particularmente CONDIÇÃO 1 (folha já contratada) e CONDIÇÃO 2 (EBITDA Puro encolhe sem premiações).</t>
  </si>
  <si>
    <t xml:space="preserve">• Reais 2024 e 2025 puxam de Indicadores (Consol). Cenários puxam de Modelo Runway.</t>
  </si>
  <si>
    <t xml:space="preserve">Saga Imobiliária — Hilton Santos / Rio By Yoo</t>
  </si>
  <si>
    <t xml:space="preserve">Histórico das 46 unidades entregues pela Cyrela em set/2021 | Valores em R$ milhares</t>
  </si>
  <si>
    <t xml:space="preserve">2021</t>
  </si>
  <si>
    <t xml:space="preserve">2024</t>
  </si>
  <si>
    <t xml:space="preserve">2025</t>
  </si>
  <si>
    <t xml:space="preserve">Evento</t>
  </si>
  <si>
    <t xml:space="preserve">Unidades originais entregues (Cyrela)</t>
  </si>
  <si>
    <t xml:space="preserve">Entrega set/2021</t>
  </si>
  <si>
    <t xml:space="preserve">Unidades vendidas no ano</t>
  </si>
  <si>
    <t xml:space="preserve">≈4</t>
  </si>
  <si>
    <t xml:space="preserve">Liquidação acelerada</t>
  </si>
  <si>
    <t xml:space="preserve">Saldo de unidades remanescentes</t>
  </si>
  <si>
    <t xml:space="preserve">Restam 23 em 2025</t>
  </si>
  <si>
    <t xml:space="preserve">VALORES (R$ MILHARES)</t>
  </si>
  <si>
    <t xml:space="preserve">Observação</t>
  </si>
  <si>
    <t xml:space="preserve">Custo total das unidades (origem)</t>
  </si>
  <si>
    <t xml:space="preserve">Cyrela 2021</t>
  </si>
  <si>
    <t xml:space="preserve">Valor justo total (avaliação)</t>
  </si>
  <si>
    <t xml:space="preserve">Mark-to-market 2021</t>
  </si>
  <si>
    <t xml:space="preserve">Receita de vendas no ano</t>
  </si>
  <si>
    <t xml:space="preserve">NE 6</t>
  </si>
  <si>
    <t xml:space="preserve">Ganho reconhecido em 'Outras receitas op.'</t>
  </si>
  <si>
    <t xml:space="preserve">Não-recorrente</t>
  </si>
  <si>
    <t xml:space="preserve">Margem do ganho (ganho/receita)</t>
  </si>
  <si>
    <t xml:space="preserve">Margem caiu</t>
  </si>
  <si>
    <t xml:space="preserve">SALDOS NO BP</t>
  </si>
  <si>
    <t xml:space="preserve">Linha do BP</t>
  </si>
  <si>
    <t xml:space="preserve">Reclassif. gradual</t>
  </si>
  <si>
    <t xml:space="preserve">Ativo disponível para venda</t>
  </si>
  <si>
    <t xml:space="preserve">Movimento 2023</t>
  </si>
  <si>
    <t xml:space="preserve">Total Hilton no BP</t>
  </si>
  <si>
    <t xml:space="preserve">Valor justo do saldo remanescente</t>
  </si>
  <si>
    <t xml:space="preserve">Ganho latente (Valor justo − Custo BP)</t>
  </si>
  <si>
    <t xml:space="preserve">Não-recorrente futuro</t>
  </si>
  <si>
    <t xml:space="preserve">• Hilton Santos / Rio By Yoo: edifício no centro do Rio cedido como parte do Acordo BACEN (multas cambiais 1990-1998).</t>
  </si>
  <si>
    <t xml:space="preserve">• 46 unidades entregues pela Cyrela em set/2021 (custo R$ 104 mi, valor justo R$ 165 mi inicial).</t>
  </si>
  <si>
    <t xml:space="preserve">• Inicialmente classificado como 'Propriedades para investimento' (BP linha 22).</t>
  </si>
  <si>
    <t xml:space="preserve">• Em ago/2023, 26 unidades reclassificadas para 'Ativo disponível para venda' — início da estratégia de liquidação.</t>
  </si>
  <si>
    <t xml:space="preserve">• Em 2024: 7 unidades vendidas, ganho R$ 8.158 mi reconhecido em 'Outras receitas operacionais'.</t>
  </si>
  <si>
    <t xml:space="preserve">• Em 2025: 12 unidades vendidas (mais que o dobro de 2024). Margem do ganho caiu de 33% para 20% — descontos para acelerar liquidação.</t>
  </si>
  <si>
    <t xml:space="preserve">• Saldo 2025: 23 unidades remanescentes a custo R$ 54.220 e valor justo R$ 73.914 — ganho latente R$ 19,7 mi.</t>
  </si>
  <si>
    <t xml:space="preserve">• Ritmo de venda 2024-2025: ~10 unidades/ano. Liquidação total esperada em 2-3 anos.</t>
  </si>
  <si>
    <t xml:space="preserve">• Para Operacional Puro: ganhos Hilton entram como ajuste não-recorrente (linha 15 da aba).</t>
  </si>
  <si>
    <t xml:space="preserve">Parcelamentos Fiscais — PROFUT (Lei 13.155) + PERSE (Lei 14.148)</t>
  </si>
  <si>
    <t xml:space="preserve">Cronograma e composição dos parcelamentos de tributos federais | R$ milhares</t>
  </si>
  <si>
    <t xml:space="preserve">Componente</t>
  </si>
  <si>
    <t xml:space="preserve">Status 2025</t>
  </si>
  <si>
    <t xml:space="preserve">LEI 13.155 — PROFUT (parcelamento original)</t>
  </si>
  <si>
    <t xml:space="preserve">IRRF parcelado</t>
  </si>
  <si>
    <t xml:space="preserve">HOMOLOGADO 2025</t>
  </si>
  <si>
    <t xml:space="preserve">INSS parcelado</t>
  </si>
  <si>
    <t xml:space="preserve">HOMOLOGADO</t>
  </si>
  <si>
    <t xml:space="preserve">FGTS parcelado</t>
  </si>
  <si>
    <t xml:space="preserve">Subtotal PROFUT</t>
  </si>
  <si>
    <t xml:space="preserve">LEI 14.148 — PERSE (reparcelamento ago/2023)</t>
  </si>
  <si>
    <t xml:space="preserve">IRRF migrado</t>
  </si>
  <si>
    <t xml:space="preserve">Subtotal PERSE</t>
  </si>
  <si>
    <t xml:space="preserve">TOTAL PARCELAMENTOS PROFUT + PERSE</t>
  </si>
  <si>
    <t xml:space="preserve">EFEITO NÃO-RECORRENTE DO REPARCELAMENTO PERSE (ago/2023)</t>
  </si>
  <si>
    <t xml:space="preserve">Em ago/2023, parte do parcelamento PROFUT (IRRF) foi migrada para PERSE com desconto</t>
  </si>
  <si>
    <t xml:space="preserve">Linha de impacto</t>
  </si>
  <si>
    <t xml:space="preserve">Valor</t>
  </si>
  <si>
    <t xml:space="preserve">Desconto em 'Outras receitas operacionais'</t>
  </si>
  <si>
    <t xml:space="preserve">Desconto em 'Receitas financeiras'</t>
  </si>
  <si>
    <t xml:space="preserve">Desconto total PERSE 2023</t>
  </si>
  <si>
    <t xml:space="preserve">CRONOGRAMA DE PAGAMENTOS LP (NE 10 do balanço 2025)</t>
  </si>
  <si>
    <t xml:space="preserve">Período</t>
  </si>
  <si>
    <t xml:space="preserve">Valor a pagar</t>
  </si>
  <si>
    <t xml:space="preserve">Anual</t>
  </si>
  <si>
    <t xml:space="preserve">2028-2035 (somatório)</t>
  </si>
  <si>
    <t xml:space="preserve">~16/ano</t>
  </si>
  <si>
    <t xml:space="preserve">Total LP a pagar</t>
  </si>
  <si>
    <t xml:space="preserve">• PROFUT (Lei 13.155/2015): programa de parcelamento de tributos federais para clubes de futebol — IRRF, INSS, FGTS.</t>
  </si>
  <si>
    <t xml:space="preserve">• PERSE (Lei 14.148/2021): Programa Emergencial de Retomada do Setor de Eventos — concedeu redução de tributos e benefícios fiscais.</t>
  </si>
  <si>
    <t xml:space="preserve">• Em ago/2023, parte do parcelamento de IRRF foi migrada para PERSE com desconto, gerando R$ 47,3 mi de efeito positivo único na DRE 2023 (R$ 19 mi em Outras receitas op. + R$ 28 mi em Receitas financeiras).</t>
  </si>
  <si>
    <t xml:space="preserve">• Em 2025: TODAS as obrigações foram HOMOLOGADAS. Confirmação literal da NE 10. Esse é o motivo de o parecer EY 2025 não trazer parágrafos de ênfase.</t>
  </si>
  <si>
    <t xml:space="preserve">• Total dos parcelamentos vem caindo modestamente: R$ 167 mi (2023) → R$ 162 mi (2025). A correção monetária quase compensa o pagamento.</t>
  </si>
  <si>
    <t xml:space="preserve">• Cronograma 2026 e 2027: R$ 15.832/ano cada — input fixo no Modelo Runway.</t>
  </si>
  <si>
    <t xml:space="preserve">• Total 2022 (R$ 244.834) é estimativa: handoff dá detalhamento só a partir de 2023.</t>
  </si>
  <si>
    <t xml:space="preserve">Projeto Estádio — Terreno Gasômetro</t>
  </si>
  <si>
    <t xml:space="preserve">Histórico da aquisição do terreno na Av. São Cristóvão nº 1200 | R$ milhares</t>
  </si>
  <si>
    <t xml:space="preserve">LINHA DO TEMPO</t>
  </si>
  <si>
    <t xml:space="preserve">Data</t>
  </si>
  <si>
    <t xml:space="preserve">Status</t>
  </si>
  <si>
    <t xml:space="preserve">02/08/2024</t>
  </si>
  <si>
    <t xml:space="preserve">Homologação do leilão</t>
  </si>
  <si>
    <t xml:space="preserve">Marco inicial</t>
  </si>
  <si>
    <t xml:space="preserve">02/09/2024</t>
  </si>
  <si>
    <t xml:space="preserve">Pagamento principal</t>
  </si>
  <si>
    <t xml:space="preserve">Pago</t>
  </si>
  <si>
    <t xml:space="preserve">23/09/2024</t>
  </si>
  <si>
    <t xml:space="preserve">Pagamento adicional (perícia judicial)</t>
  </si>
  <si>
    <t xml:space="preserve">31/12/2024</t>
  </si>
  <si>
    <t xml:space="preserve">Saldo classificado como 'Terreno em processo'</t>
  </si>
  <si>
    <t xml:space="preserve">BP linha 23</t>
  </si>
  <si>
    <t xml:space="preserve">18/12/2025</t>
  </si>
  <si>
    <t xml:space="preserve">Termo de Acordo Definitivo com CEF + CCPAR + União + Município</t>
  </si>
  <si>
    <t xml:space="preserve">Audiências finalizadas</t>
  </si>
  <si>
    <t xml:space="preserve">2026 (esperado)</t>
  </si>
  <si>
    <t xml:space="preserve">Reclassificação para 'Terreno' definitivo</t>
  </si>
  <si>
    <t xml:space="preserve">Após formalização</t>
  </si>
  <si>
    <t xml:space="preserve">STATUS NO BP</t>
  </si>
  <si>
    <t xml:space="preserve">'Terreno em processo de aquisição' (BP-Imobilizado)</t>
  </si>
  <si>
    <t xml:space="preserve">Aguarda reclassificação</t>
  </si>
  <si>
    <t xml:space="preserve">CITAÇÃO LITERAL DA NE 8 DO BALANÇO 2025</t>
  </si>
  <si>
    <t xml:space="preserve">"Em 18 de dezembro de 2025, as partes — CRF, CEF, Caixa FII Porto Maravilha, União Federal, Município do RJ e CCPAR —, após uma série de audiências, realizaram ajustes finais com vistas à celebração do Termo de Acordo Definitivo que garantirá ao CRF a posse definitiva do terreno."</t>
  </si>
  <si>
    <t xml:space="preserve">• Gasômetro: terreno na Av. São Cristóvão nº 1200, em frente à antiga sede do gás.</t>
  </si>
  <si>
    <t xml:space="preserve">• Aquisição em duas parcelas em set/2024 (R$ 138 mi + R$ 7,9 mi de perícia) = R$ 146,08 mi total.</t>
  </si>
  <si>
    <t xml:space="preserve">• Processo judicial 0900053-11.2024.8.19.0001.</t>
  </si>
  <si>
    <t xml:space="preserve">• Está classificado em 'Terreno em processo de aquisição' (não em 'Terreno' definitivo) porque ainda dependia da formalização do Termo de Acordo entre as 6 partes envolvidas.</t>
  </si>
  <si>
    <t xml:space="preserve">• Em 18/dez/2025: audiências finalizadas, ajustes finais feitos — Termo de Acordo Definitivo a ser celebrado em 2026.</t>
  </si>
  <si>
    <t xml:space="preserve">• Em 2026, a reclassificação para 'Terreno' definitivo será feita no BP, sem impacto em P&amp;L.</t>
  </si>
  <si>
    <t xml:space="preserve">• Implicação prospectiva: a partir de 2026, o Flamengo pode iniciar projeto de construção do próprio estádio. Capex estimado: R$ 2-3 bilhões ao longo de 4-6 anos — NÃO modelado no runway base.</t>
  </si>
  <si>
    <t xml:space="preserve">A Fla-Flu Serviços S.A. é tributada por lucro presumido (não lucro real).</t>
  </si>
  <si>
    <t xml:space="preserve">Concessão Maracanã — Fla-Flu Serviços S.A.</t>
  </si>
  <si>
    <t xml:space="preserve">Primeiro ano completo de operação consolidada (2025) | R$ milhares</t>
  </si>
  <si>
    <t xml:space="preserve">ESTRUTURA SOCIETÁRIA</t>
  </si>
  <si>
    <t xml:space="preserve">Item</t>
  </si>
  <si>
    <t xml:space="preserve">Constituição</t>
  </si>
  <si>
    <t xml:space="preserve">30/08/2024</t>
  </si>
  <si>
    <t xml:space="preserve">Sociedade anônima</t>
  </si>
  <si>
    <t xml:space="preserve">Participação Flamengo</t>
  </si>
  <si>
    <t xml:space="preserve">Controladora</t>
  </si>
  <si>
    <t xml:space="preserve">Participação Fluminense</t>
  </si>
  <si>
    <t xml:space="preserve">Não-controlador</t>
  </si>
  <si>
    <t xml:space="preserve">Capital social total</t>
  </si>
  <si>
    <t xml:space="preserve">Capital integralizado até 31/12/2025</t>
  </si>
  <si>
    <t xml:space="preserve">Falta R$ 11.037 mi</t>
  </si>
  <si>
    <t xml:space="preserve">Falta integralizar pelo Flamengo até ago/2028</t>
  </si>
  <si>
    <t xml:space="preserve">65% × 11.037</t>
  </si>
  <si>
    <t xml:space="preserve">CONTRATO DE CONCESSÃO MARACANÃ</t>
  </si>
  <si>
    <t xml:space="preserve">Contrato SECC nº 033/2024</t>
  </si>
  <si>
    <t xml:space="preserve">27/09/2024</t>
  </si>
  <si>
    <t xml:space="preserve">Assinatura</t>
  </si>
  <si>
    <t xml:space="preserve">Prazo da concessão</t>
  </si>
  <si>
    <t xml:space="preserve">20 anos</t>
  </si>
  <si>
    <t xml:space="preserve">Até nov/2044</t>
  </si>
  <si>
    <t xml:space="preserve">Montante TOTAL a pagar (nominal)</t>
  </si>
  <si>
    <t xml:space="preserve">80 parcelas trimestrais + IPCA</t>
  </si>
  <si>
    <t xml:space="preserve">Valor PRESENTE reconhecido (BP)</t>
  </si>
  <si>
    <t xml:space="preserve">Setembro/2024</t>
  </si>
  <si>
    <t xml:space="preserve">Amortização anual estimada (linear)</t>
  </si>
  <si>
    <t xml:space="preserve">Linha NOVA na DFC 2025</t>
  </si>
  <si>
    <t xml:space="preserve">Saída de caixa anual aproximada</t>
  </si>
  <si>
    <t xml:space="preserve">+ IPCA</t>
  </si>
  <si>
    <t xml:space="preserve">RESULTADOS FLA-FLU SERVIÇOS S.A.</t>
  </si>
  <si>
    <t xml:space="preserve">2024 (parcial)</t>
  </si>
  <si>
    <t xml:space="preserve">2025 (completo)</t>
  </si>
  <si>
    <t xml:space="preserve">Δ</t>
  </si>
  <si>
    <t xml:space="preserve">Ativo total</t>
  </si>
  <si>
    <t xml:space="preserve">Passivo total</t>
  </si>
  <si>
    <t xml:space="preserve">Patrimônio líquido</t>
  </si>
  <si>
    <t xml:space="preserve">Receita bruta total (estádio + tour)</t>
  </si>
  <si>
    <t xml:space="preserve">+597%</t>
  </si>
  <si>
    <t xml:space="preserve">Resultado do exercício</t>
  </si>
  <si>
    <t xml:space="preserve">Inversão</t>
  </si>
  <si>
    <t xml:space="preserve">EQUIVALÊNCIA E DIVIDENDOS (perspectiva Flamengo)</t>
  </si>
  <si>
    <t xml:space="preserve">Acumulado</t>
  </si>
  <si>
    <t xml:space="preserve">Equivalência patrimonial Cont (65% × resultado)</t>
  </si>
  <si>
    <t xml:space="preserve">DRE!17</t>
  </si>
  <si>
    <t xml:space="preserve">Dividendo declarado pela Fla-Flu (total)</t>
  </si>
  <si>
    <t xml:space="preserve">Payout 71%</t>
  </si>
  <si>
    <t xml:space="preserve">Dividendo a receber pelo Flamengo (65%)</t>
  </si>
  <si>
    <t xml:space="preserve">C/R no BP</t>
  </si>
  <si>
    <t xml:space="preserve">Dividendo pago em caixa em 2025</t>
  </si>
  <si>
    <t xml:space="preserve">Não circulou</t>
  </si>
  <si>
    <t xml:space="preserve">IR/CSLL DA FLA-FLU (LUCRO PRESUMIDO)</t>
  </si>
  <si>
    <t xml:space="preserve">Tributo</t>
  </si>
  <si>
    <t xml:space="preserve">Crescimento</t>
  </si>
  <si>
    <t xml:space="preserve">IRPJ/CSLL</t>
  </si>
  <si>
    <t xml:space="preserve">+61%</t>
  </si>
  <si>
    <t xml:space="preserve">PIS/COFINS</t>
  </si>
  <si>
    <t xml:space="preserve">+23%</t>
  </si>
  <si>
    <t xml:space="preserve">Total IR + PIS/COFINS no Consol</t>
  </si>
  <si>
    <t xml:space="preserve">IR/CSLL total no DRE Consol (linha 27)</t>
  </si>
  <si>
    <t xml:space="preserve">Diferença = ajustes</t>
  </si>
  <si>
    <t xml:space="preserve">• Fla-Flu Serviços S.A.: sociedade anônima constituída em 30/08/2024 — Flamengo 65% + Fluminense 35%.</t>
  </si>
  <si>
    <t xml:space="preserve">• Gestora do Maracanã sob contrato de concessão SECC nº 033/2024 (20 anos, até nov/2044).</t>
  </si>
  <si>
    <t xml:space="preserve">• Tributação: LUCRO PRESUMIDO (não lucro real) — primeiro grande imposto sobre operação consolidada do Flamengo.</t>
  </si>
  <si>
    <t xml:space="preserve">• Primeiro ano completo (2025): resultado positivo de R$ 21,4 mi (vs déficit R$ 5,3 mi em 2024 parcial). Inversão significativa.</t>
  </si>
  <si>
    <t xml:space="preserve">• Primeiro dividendo declarado: R$ 15,3 mi total (payout 71% sobre lucro). Flamengo tem R$ 9,95 mi a receber — mas NÃO circulou em caixa em 2025 (entrou em C/R no BP).</t>
  </si>
  <si>
    <t xml:space="preserve">• Falta R$ 7,2 mi do Flamengo a integralizar até ago/2028 (65% dos R$ 11 mi restantes do capital subscrito).</t>
  </si>
  <si>
    <t xml:space="preserve">• Outorga de concessão: passivo de R$ 401 mi nominal (R$ 178 mi a valor presente) — único passivo de longo prazo no Consolidado.</t>
  </si>
  <si>
    <t xml:space="preserve">• Linha NOVA na DFC 2025 (Consol): amortização da outorga (R$ 9,4 mi anual) + pagamento de R$ 20 mi de caixa.</t>
  </si>
  <si>
    <t xml:space="preserve">Exposição Cambial</t>
  </si>
  <si>
    <t xml:space="preserve">Histórico do risco cambial e estreia do hedge em 2025 | R$ milhares</t>
  </si>
  <si>
    <t xml:space="preserve">EXPOSIÇÃO CAMBIAL (passivo - ativo em ME, % do passivo total)</t>
  </si>
  <si>
    <t xml:space="preserve">Métrica</t>
  </si>
  <si>
    <t xml:space="preserve">% do passivo bruto em ME / passivo total</t>
  </si>
  <si>
    <t xml:space="preserve">Métrica 2024</t>
  </si>
  <si>
    <t xml:space="preserve">Exposição líquida (P-A em ME) — SEM hedge</t>
  </si>
  <si>
    <t xml:space="preserve">NE 23.2.d</t>
  </si>
  <si>
    <t xml:space="preserve">Exposição líquida AJUSTADA pelo hedge</t>
  </si>
  <si>
    <t xml:space="preserve">Apenas 2025</t>
  </si>
  <si>
    <t xml:space="preserve">VARIAÇÃO CAMBIAL NO RESULTADO FINANCEIRO (R$ milhares)</t>
  </si>
  <si>
    <t xml:space="preserve">Variação cambial — Despesa financeira</t>
  </si>
  <si>
    <t xml:space="preserve">NE 20</t>
  </si>
  <si>
    <t xml:space="preserve">Variação cambial — Receita financeira</t>
  </si>
  <si>
    <t xml:space="preserve">Variação cambial LÍQUIDA</t>
  </si>
  <si>
    <t xml:space="preserve">Swing +46 mi</t>
  </si>
  <si>
    <t xml:space="preserve">HEDGE CAMBIAL 2025 — ESTREIA (NE 23.2.d)</t>
  </si>
  <si>
    <t xml:space="preserve">Moeda</t>
  </si>
  <si>
    <t xml:space="preserve">Nocional</t>
  </si>
  <si>
    <t xml:space="preserve">Vencimento</t>
  </si>
  <si>
    <t xml:space="preserve">Contraparte</t>
  </si>
  <si>
    <t xml:space="preserve">Forwards USD</t>
  </si>
  <si>
    <t xml:space="preserve">USD</t>
  </si>
  <si>
    <t xml:space="preserve">Fev-Ago/2026</t>
  </si>
  <si>
    <t xml:space="preserve">Banco Itaú Unibanco</t>
  </si>
  <si>
    <t xml:space="preserve">Forwards EUR</t>
  </si>
  <si>
    <t xml:space="preserve">EUR</t>
  </si>
  <si>
    <t xml:space="preserve">Mai-Jul/2026</t>
  </si>
  <si>
    <t xml:space="preserve">Banco BTG Pactual</t>
  </si>
  <si>
    <t xml:space="preserve">ETFs cambiais (USD) — também usados como proteção econômica</t>
  </si>
  <si>
    <t xml:space="preserve">EFEITO DO HEDGE NO RESULTADO 2025</t>
  </si>
  <si>
    <t xml:space="preserve">Local</t>
  </si>
  <si>
    <t xml:space="preserve">AVP forwards (receita financeira)</t>
  </si>
  <si>
    <t xml:space="preserve">Resultado líquido valor justo forwards</t>
  </si>
  <si>
    <t xml:space="preserve">Ativo Circulante (BP) + Receita fin.</t>
  </si>
  <si>
    <t xml:space="preserve">IOF adicional 2025 vs 2024 (custo do hedge)</t>
  </si>
  <si>
    <t xml:space="preserve">Despesa financeira</t>
  </si>
  <si>
    <t xml:space="preserve">Efeito líquido do hedge no DRE 2025</t>
  </si>
  <si>
    <t xml:space="preserve">Soma</t>
  </si>
  <si>
    <t xml:space="preserve">MUDANÇA DE POSTURA (2024 → 2025)</t>
  </si>
  <si>
    <t xml:space="preserve">Em 2024, a Administração admitia explicitamente a falta de hedge como 'ponto de atenção relevante' (NE 24.2.d 2024): 'não possui instrumentos financeiros derivativos contratados como forma de proteção.' Em 2025, estreia carteira de forwards USD+EUR e adota ETFs cambiais como proteção econômica.</t>
  </si>
  <si>
    <t xml:space="preserve">• Métrica '% passivo bruto em ME / passivo total' (linha 6) é a do RG 2024 — comparação com 2025 não direta.</t>
  </si>
  <si>
    <t xml:space="preserve">• Métrica '% passivo líquido em ME / passivo total' (linha 7) é a da NE 23.2.d — comparável entre anos.</t>
  </si>
  <si>
    <t xml:space="preserve">• Estreia do hedge cambial em 2025 reduziu a exposição líquida ajustada de 19% (2024) para 2% (2025).</t>
  </si>
  <si>
    <t xml:space="preserve">• Carteira de forwards expira entre fev e ago/2026 — exige rolagem contínua para manter cobertura.</t>
  </si>
  <si>
    <t xml:space="preserve">• Apreciação do real em 2025 explica boa parte do swing de R$ 46 mi no resultado financeiro vs 2024.</t>
  </si>
  <si>
    <t xml:space="preserve">• Efeito líquido do hedge em si no DRE 2025: positivo R$ 2,8 mi — o hedge praticamente não moveu a agulha do resultado. O ganho cambial veio da apreciação direta do real, não do hedge.</t>
  </si>
  <si>
    <t xml:space="preserve">• Para a aba Operacional Puro, a variação cambial NÃO entra como não-recorrente — está no resultado financeiro (abaixo do EBITDA).</t>
  </si>
  <si>
    <t xml:space="preserve">Recebíveis e Inadimplências</t>
  </si>
  <si>
    <t xml:space="preserve">C/R jogadores + aging + casos de inadimplência | R$ milhares</t>
  </si>
  <si>
    <t xml:space="preserve">CONTAS A RECEBER DE JOGADORES — Evolução</t>
  </si>
  <si>
    <t xml:space="preserve">Saldo no BP</t>
  </si>
  <si>
    <t xml:space="preserve">C/R jogadores CP</t>
  </si>
  <si>
    <t xml:space="preserve">C/R jogadores LP</t>
  </si>
  <si>
    <t xml:space="preserve">Total C/R jogadores (Consol)</t>
  </si>
  <si>
    <t xml:space="preserve">+159% em 2025</t>
  </si>
  <si>
    <t xml:space="preserve">TOP 3 DEVEDORES DE JOGADORES — 31/12/2025 (NE 4)</t>
  </si>
  <si>
    <t xml:space="preserve">Devedor</t>
  </si>
  <si>
    <t xml:space="preserve">Atleta</t>
  </si>
  <si>
    <t xml:space="preserve">Saldo</t>
  </si>
  <si>
    <t xml:space="preserve">% Total</t>
  </si>
  <si>
    <t xml:space="preserve">AS Roma (Itália)</t>
  </si>
  <si>
    <t xml:space="preserve">Wesley Vinicius França</t>
  </si>
  <si>
    <t xml:space="preserve">(Cont)</t>
  </si>
  <si>
    <t xml:space="preserve">Everton FC (Inglaterra)</t>
  </si>
  <si>
    <t xml:space="preserve">Carlos Alcaraz</t>
  </si>
  <si>
    <t xml:space="preserve">Al-Ahli Club Company (Arábia)</t>
  </si>
  <si>
    <t xml:space="preserve">Matheus Gonçalves</t>
  </si>
  <si>
    <t xml:space="preserve">Top 3</t>
  </si>
  <si>
    <t xml:space="preserve">≈49% do total</t>
  </si>
  <si>
    <t xml:space="preserve">AGING CONSOLIDADO DOS C/R</t>
  </si>
  <si>
    <t xml:space="preserve">Faixa</t>
  </si>
  <si>
    <t xml:space="preserve">% 2025</t>
  </si>
  <si>
    <t xml:space="preserve">A vencer</t>
  </si>
  <si>
    <t xml:space="preserve">1-30 dias vencido</t>
  </si>
  <si>
    <t xml:space="preserve">31-90 dias</t>
  </si>
  <si>
    <t xml:space="preserve">91-180 dias</t>
  </si>
  <si>
    <t xml:space="preserve">Acima de 180 dias</t>
  </si>
  <si>
    <t xml:space="preserve">Total</t>
  </si>
  <si>
    <t xml:space="preserve">PCLD (Provisão para Créditos de Liquidação Duvidosa)</t>
  </si>
  <si>
    <t xml:space="preserve">Saldo de PCLD no BP</t>
  </si>
  <si>
    <t xml:space="preserve">Reversão líquida</t>
  </si>
  <si>
    <t xml:space="preserve">PCLD reconhecido no exercício</t>
  </si>
  <si>
    <t xml:space="preserve">Recuperação parcial</t>
  </si>
  <si>
    <t xml:space="preserve">CASOS DE INADIMPLÊNCIA RELATADOS NAS NE</t>
  </si>
  <si>
    <t xml:space="preserve">Caso</t>
  </si>
  <si>
    <t xml:space="preserve">Detalhe</t>
  </si>
  <si>
    <t xml:space="preserve">Status 2024</t>
  </si>
  <si>
    <t xml:space="preserve">Matheus França → Corinthians</t>
  </si>
  <si>
    <t xml:space="preserve">EUR 4.000</t>
  </si>
  <si>
    <t xml:space="preserve">1ª parcela em mora 05/08/2024</t>
  </si>
  <si>
    <t xml:space="preserve">Em cobrança via Brax</t>
  </si>
  <si>
    <t xml:space="preserve">Thiago Maia → Internacional</t>
  </si>
  <si>
    <t xml:space="preserve">3 parcelas inadimplentes</t>
  </si>
  <si>
    <t xml:space="preserve">Renegociado 6 parcelas até 08/2027</t>
  </si>
  <si>
    <t xml:space="preserve">André Luiz → CFEA Estrela</t>
  </si>
  <si>
    <t xml:space="preserve">EUR 500</t>
  </si>
  <si>
    <t xml:space="preserve">1ª parcela em atraso</t>
  </si>
  <si>
    <t xml:space="preserve">—</t>
  </si>
  <si>
    <t xml:space="preserve">Werton → Leixões</t>
  </si>
  <si>
    <t xml:space="preserve">EUR 1.000</t>
  </si>
  <si>
    <t xml:space="preserve">CONCENTRAÇÃO DE C/R — RISCO DE CRÉDITO</t>
  </si>
  <si>
    <t xml:space="preserve">Em 2025, 49% do total de C/R jogadores está concentrado em 3 devedores externos (Roma, Everton, Al-Ahli). Combinado com o crescimento de 159% do estoque total e o aumento da faixa '1-30 dias vencido' (de R$ 44,9 para R$ 141,3 mi), configura-se exposição material a risco de crédito internacional, especialmente em moedas EUR e USD.</t>
  </si>
  <si>
    <t xml:space="preserve">• C/R jogadores cresceu 159% entre 2024 e 2025 (R$ 149 → R$ 387 mi) — caixa futuro das vendas de Wesley, Alcaraz e Matheus Gonçalves.</t>
  </si>
  <si>
    <t xml:space="preserve">• Top 3 devedores externos (Roma, Everton, Al-Ahli) concentram quase metade do estoque — risco de crédito internacional material.</t>
  </si>
  <si>
    <t xml:space="preserve">• PCLD virou positivo R$ 3,1 mi em 2025 (vs R$ 7,3 mi de constituição em 2024) — recuperação parcial das inadimplências relatadas.</t>
  </si>
  <si>
    <t xml:space="preserve">• Aging mostra o aumento expressivo da faixa '1-30 dias vencido' — R$ 141 mi em 2025 (vs R$ 45 mi em 2024). Provavelmente parcelas das vendas recentes que entraram em atraso.</t>
  </si>
  <si>
    <t xml:space="preserve">• Caso Matheus França: 1ª parcela em mora desde 05/08/2024 — Brax (intermediadora) foi acionada para cobrança. Sem progresso reportado em 2025.</t>
  </si>
  <si>
    <t xml:space="preserve">• Caso Thiago Maia: renegociado para 6 parcelas até 30/08/2027 — provavelmente está atrás do aumento da faixa '&gt;180 dias' em R$ 23,5 mi.</t>
  </si>
  <si>
    <t xml:space="preserve">• Caso Olávio Jr. (jan/2026): vendido ao Club Universidad Nacional do México por USD 5.000 — adiantamento de R$ 6.794 mi já recebido em 2025 (NE 12).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</si>
</sst>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.00&quot; meses&quot;"/>
    <numFmt numFmtId="168" formatCode="0.00\x;\(0.00&quot;x)&quot;;\-"/>
    <numFmt numFmtId="169" formatCode="0&quot; de 4&quot;"/>
    <numFmt numFmtId="170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000000"/>
        <bgColor rgb="FF000080"/>
      </patternFill>
    </fill>
    <fill>
      <patternFill patternType="solid">
        <fgColor rgb="FFD9D9D9"/>
        <bgColor rgb="FFDDEBF7"/>
      </patternFill>
    </fill>
    <fill>
      <patternFill patternType="solid">
        <fgColor rgb="FF808080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70AD47"/>
        <bgColor rgb="FF339966"/>
      </patternFill>
    </fill>
    <fill>
      <patternFill patternType="solid">
        <fgColor rgb="FFC00000"/>
        <bgColor rgb="FF9C000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6" fontId="11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6" fontId="1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6" fontId="1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3" shrinkToFit="false"/>
      <protection locked="true" hidden="false"/>
    </xf>
    <xf numFmtId="166" fontId="1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8"/>
    <col collapsed="false" customWidth="true" hidden="false" outlineLevel="0" max="8" min="3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5" t="s">
        <v>10</v>
      </c>
      <c r="B5" s="5"/>
      <c r="C5" s="5"/>
      <c r="D5" s="5"/>
      <c r="E5" s="5"/>
      <c r="F5" s="5"/>
      <c r="G5" s="5"/>
      <c r="H5" s="5"/>
    </row>
    <row r="6" customFormat="false" ht="15" hidden="false" customHeight="true" outlineLevel="0" collapsed="false">
      <c r="A6" s="6" t="s">
        <v>11</v>
      </c>
    </row>
    <row r="7" customFormat="false" ht="15" hidden="false" customHeight="true" outlineLevel="0" collapsed="false">
      <c r="A7" s="7" t="s">
        <v>12</v>
      </c>
      <c r="B7" s="8" t="s">
        <v>13</v>
      </c>
      <c r="C7" s="9" t="n">
        <v>236887</v>
      </c>
      <c r="D7" s="9" t="n">
        <v>234487</v>
      </c>
      <c r="E7" s="9" t="n">
        <v>70557</v>
      </c>
      <c r="F7" s="9" t="n">
        <v>91841</v>
      </c>
      <c r="G7" s="9" t="n">
        <v>143941</v>
      </c>
      <c r="H7" s="9" t="n">
        <v>191714</v>
      </c>
    </row>
    <row r="8" customFormat="false" ht="15" hidden="false" customHeight="true" outlineLevel="0" collapsed="false">
      <c r="A8" s="7" t="s">
        <v>14</v>
      </c>
      <c r="B8" s="8" t="s">
        <v>13</v>
      </c>
      <c r="C8" s="9" t="n">
        <v>17581</v>
      </c>
      <c r="D8" s="9" t="n">
        <v>28073</v>
      </c>
      <c r="E8" s="9" t="n">
        <v>41662</v>
      </c>
      <c r="F8" s="9" t="n">
        <v>41662</v>
      </c>
      <c r="G8" s="9" t="n">
        <v>51140</v>
      </c>
      <c r="H8" s="9" t="n">
        <v>51140</v>
      </c>
    </row>
    <row r="9" customFormat="false" ht="15" hidden="false" customHeight="true" outlineLevel="0" collapsed="false">
      <c r="A9" s="7" t="s">
        <v>15</v>
      </c>
      <c r="B9" s="8" t="s">
        <v>16</v>
      </c>
      <c r="C9" s="9" t="n">
        <v>71541</v>
      </c>
      <c r="D9" s="9" t="n">
        <v>162109</v>
      </c>
      <c r="E9" s="9" t="n">
        <v>185416</v>
      </c>
      <c r="F9" s="9" t="n">
        <v>189501</v>
      </c>
      <c r="G9" s="9" t="n">
        <v>348380</v>
      </c>
      <c r="H9" s="9" t="n">
        <v>344409</v>
      </c>
    </row>
    <row r="10" customFormat="false" ht="15" hidden="false" customHeight="true" outlineLevel="0" collapsed="false">
      <c r="A10" s="7" t="s">
        <v>17</v>
      </c>
      <c r="C10" s="9"/>
      <c r="D10" s="9" t="n">
        <v>3780</v>
      </c>
      <c r="E10" s="9" t="n">
        <v>1753</v>
      </c>
      <c r="F10" s="9" t="n">
        <v>1753</v>
      </c>
      <c r="G10" s="9" t="n">
        <v>1799</v>
      </c>
      <c r="H10" s="9" t="n">
        <v>1799</v>
      </c>
    </row>
    <row r="11" customFormat="false" ht="15" hidden="false" customHeight="true" outlineLevel="0" collapsed="false">
      <c r="A11" s="7" t="s">
        <v>18</v>
      </c>
      <c r="C11" s="9"/>
      <c r="D11" s="9" t="n">
        <v>11272</v>
      </c>
      <c r="E11" s="9" t="n">
        <v>8487</v>
      </c>
      <c r="F11" s="9" t="n">
        <v>8487</v>
      </c>
      <c r="G11" s="9" t="n">
        <v>5274</v>
      </c>
      <c r="H11" s="9" t="n">
        <v>6763</v>
      </c>
    </row>
    <row r="12" customFormat="false" ht="15" hidden="false" customHeight="true" outlineLevel="0" collapsed="false">
      <c r="A12" s="7" t="s">
        <v>19</v>
      </c>
      <c r="B12" s="8" t="s">
        <v>20</v>
      </c>
      <c r="C12" s="9"/>
      <c r="D12" s="9"/>
      <c r="E12" s="9"/>
      <c r="F12" s="9"/>
      <c r="G12" s="9" t="n">
        <v>3086</v>
      </c>
      <c r="H12" s="9" t="n">
        <v>3086</v>
      </c>
    </row>
    <row r="13" customFormat="false" ht="15" hidden="false" customHeight="true" outlineLevel="0" collapsed="false">
      <c r="A13" s="7" t="s">
        <v>21</v>
      </c>
      <c r="C13" s="9" t="n">
        <v>17549</v>
      </c>
      <c r="D13" s="9" t="n">
        <v>16193</v>
      </c>
      <c r="E13" s="9" t="n">
        <v>13995</v>
      </c>
      <c r="F13" s="9" t="n">
        <v>14099</v>
      </c>
      <c r="G13" s="9" t="n">
        <v>5346</v>
      </c>
      <c r="H13" s="9" t="n">
        <v>6064</v>
      </c>
    </row>
    <row r="14" customFormat="false" ht="15" hidden="false" customHeight="true" outlineLevel="0" collapsed="false">
      <c r="A14" s="10" t="s">
        <v>22</v>
      </c>
      <c r="B14" s="11"/>
      <c r="C14" s="12" t="n">
        <f aca="false">SUM(C7,C8,C9,C10,C11,C12,C13)</f>
        <v>343558</v>
      </c>
      <c r="D14" s="12" t="n">
        <f aca="false">SUM(D7,D8,D9,D10,D11,D12,D13)</f>
        <v>455914</v>
      </c>
      <c r="E14" s="12" t="n">
        <f aca="false">SUM(E7,E8,E9,E10,E11,E12,E13)</f>
        <v>321870</v>
      </c>
      <c r="F14" s="12" t="n">
        <f aca="false">SUM(F7,F8,F9,F10,F11,F12,F13)</f>
        <v>347343</v>
      </c>
      <c r="G14" s="12" t="n">
        <f aca="false">SUM(G7,G8,G9,G10,G11,G12,G13)</f>
        <v>558966</v>
      </c>
      <c r="H14" s="12" t="n">
        <f aca="false">SUM(H7,H8,H9,H10,H11,H12,H13)</f>
        <v>604975</v>
      </c>
    </row>
    <row r="16" customFormat="false" ht="15" hidden="false" customHeight="true" outlineLevel="0" collapsed="false">
      <c r="A16" s="10" t="s">
        <v>23</v>
      </c>
      <c r="B16" s="13" t="s">
        <v>24</v>
      </c>
      <c r="C16" s="14"/>
      <c r="D16" s="14" t="n">
        <v>59953</v>
      </c>
      <c r="E16" s="14" t="n">
        <v>81377</v>
      </c>
      <c r="F16" s="14" t="n">
        <v>81377</v>
      </c>
      <c r="G16" s="14" t="n">
        <v>54220</v>
      </c>
      <c r="H16" s="14" t="n">
        <v>54220</v>
      </c>
    </row>
    <row r="18" customFormat="false" ht="15" hidden="false" customHeight="true" outlineLevel="0" collapsed="false">
      <c r="A18" s="6" t="s">
        <v>25</v>
      </c>
    </row>
    <row r="19" customFormat="false" ht="15" hidden="false" customHeight="true" outlineLevel="0" collapsed="false">
      <c r="A19" s="7" t="s">
        <v>26</v>
      </c>
      <c r="B19" s="8" t="s">
        <v>16</v>
      </c>
      <c r="C19" s="9" t="n">
        <v>37034</v>
      </c>
      <c r="D19" s="9" t="n">
        <v>54196</v>
      </c>
      <c r="E19" s="9" t="n">
        <v>36066</v>
      </c>
      <c r="F19" s="9" t="n">
        <v>36066</v>
      </c>
      <c r="G19" s="9" t="n">
        <v>107905</v>
      </c>
      <c r="H19" s="9" t="n">
        <v>107905</v>
      </c>
    </row>
    <row r="20" customFormat="false" ht="15" hidden="false" customHeight="true" outlineLevel="0" collapsed="false">
      <c r="A20" s="7" t="s">
        <v>27</v>
      </c>
      <c r="B20" s="8" t="s">
        <v>28</v>
      </c>
      <c r="C20" s="9" t="n">
        <v>53076</v>
      </c>
      <c r="D20" s="9" t="n">
        <v>58780</v>
      </c>
      <c r="E20" s="9" t="n">
        <v>49969</v>
      </c>
      <c r="F20" s="9" t="n">
        <v>49969</v>
      </c>
      <c r="G20" s="9" t="n">
        <v>23598</v>
      </c>
      <c r="H20" s="9" t="n">
        <v>23598</v>
      </c>
    </row>
    <row r="21" customFormat="false" ht="15" hidden="false" customHeight="true" outlineLevel="0" collapsed="false">
      <c r="A21" s="7" t="s">
        <v>29</v>
      </c>
      <c r="B21" s="8" t="s">
        <v>30</v>
      </c>
      <c r="C21" s="9"/>
      <c r="D21" s="9"/>
      <c r="E21" s="9" t="n">
        <v>2401</v>
      </c>
      <c r="F21" s="9"/>
      <c r="G21" s="9" t="n">
        <v>6390</v>
      </c>
      <c r="H21" s="9"/>
    </row>
    <row r="22" customFormat="false" ht="15" hidden="false" customHeight="true" outlineLevel="0" collapsed="false">
      <c r="A22" s="7" t="s">
        <v>31</v>
      </c>
      <c r="C22" s="9" t="n">
        <v>104893</v>
      </c>
      <c r="D22" s="9" t="n">
        <v>38625</v>
      </c>
      <c r="E22" s="9" t="n">
        <v>171</v>
      </c>
      <c r="F22" s="9" t="n">
        <v>171</v>
      </c>
      <c r="G22" s="9"/>
      <c r="H22" s="9"/>
    </row>
    <row r="23" customFormat="false" ht="15" hidden="false" customHeight="true" outlineLevel="0" collapsed="false">
      <c r="A23" s="7" t="s">
        <v>32</v>
      </c>
      <c r="B23" s="8" t="s">
        <v>33</v>
      </c>
      <c r="C23" s="9" t="n">
        <v>216165</v>
      </c>
      <c r="D23" s="9" t="n">
        <v>247794</v>
      </c>
      <c r="E23" s="9" t="n">
        <v>427509</v>
      </c>
      <c r="F23" s="9" t="n">
        <v>427965</v>
      </c>
      <c r="G23" s="9" t="n">
        <v>440614</v>
      </c>
      <c r="H23" s="9" t="n">
        <v>441424</v>
      </c>
    </row>
    <row r="24" customFormat="false" ht="15" hidden="false" customHeight="true" outlineLevel="0" collapsed="false">
      <c r="A24" s="7" t="s">
        <v>34</v>
      </c>
      <c r="B24" s="8" t="s">
        <v>35</v>
      </c>
      <c r="C24" s="9" t="n">
        <v>372299</v>
      </c>
      <c r="D24" s="9" t="n">
        <v>469080</v>
      </c>
      <c r="E24" s="9" t="n">
        <v>605405</v>
      </c>
      <c r="F24" s="9" t="n">
        <v>782747</v>
      </c>
      <c r="G24" s="9" t="n">
        <v>800619</v>
      </c>
      <c r="H24" s="9" t="n">
        <v>988945</v>
      </c>
    </row>
    <row r="25" customFormat="false" ht="15" hidden="false" customHeight="true" outlineLevel="0" collapsed="false">
      <c r="A25" s="7" t="s">
        <v>21</v>
      </c>
      <c r="C25" s="9" t="n">
        <v>4868</v>
      </c>
      <c r="D25" s="9" t="n">
        <v>5560</v>
      </c>
      <c r="E25" s="9" t="n">
        <v>6273</v>
      </c>
      <c r="F25" s="9" t="n">
        <v>6273</v>
      </c>
      <c r="G25" s="9" t="n">
        <v>36</v>
      </c>
      <c r="H25" s="9" t="n">
        <v>36</v>
      </c>
    </row>
    <row r="26" customFormat="false" ht="15" hidden="false" customHeight="true" outlineLevel="0" collapsed="false">
      <c r="A26" s="10" t="s">
        <v>36</v>
      </c>
      <c r="B26" s="11"/>
      <c r="C26" s="12" t="n">
        <f aca="false">SUM(C19,C20,C21,C22,C23,C24,C25)</f>
        <v>788335</v>
      </c>
      <c r="D26" s="12" t="n">
        <f aca="false">SUM(D19,D20,D21,D22,D23,D24,D25)</f>
        <v>874035</v>
      </c>
      <c r="E26" s="12" t="n">
        <f aca="false">SUM(E19,E20,E21,E22,E23,E24,E25)</f>
        <v>1127794</v>
      </c>
      <c r="F26" s="12" t="n">
        <f aca="false">SUM(F19,F20,F21,F22,F23,F24,F25)</f>
        <v>1303191</v>
      </c>
      <c r="G26" s="12" t="n">
        <f aca="false">SUM(G19,G20,G21,G22,G23,G24,G25)</f>
        <v>1379162</v>
      </c>
      <c r="H26" s="12" t="n">
        <f aca="false">SUM(H19,H20,H21,H22,H23,H24,H25)</f>
        <v>1561908</v>
      </c>
    </row>
    <row r="28" customFormat="false" ht="15" hidden="false" customHeight="true" outlineLevel="0" collapsed="false">
      <c r="A28" s="15" t="s">
        <v>37</v>
      </c>
      <c r="B28" s="16"/>
      <c r="C28" s="17" t="n">
        <f aca="false">C14+C16+C26</f>
        <v>1131893</v>
      </c>
      <c r="D28" s="17" t="n">
        <f aca="false">D14+D16+D26</f>
        <v>1389902</v>
      </c>
      <c r="E28" s="17" t="n">
        <f aca="false">E14+E16+E26</f>
        <v>1531041</v>
      </c>
      <c r="F28" s="17" t="n">
        <f aca="false">F14+F16+F26</f>
        <v>1731911</v>
      </c>
      <c r="G28" s="17" t="n">
        <f aca="false">G14+G16+G26</f>
        <v>1992348</v>
      </c>
      <c r="H28" s="17" t="n">
        <f aca="false">H14+H16+H26</f>
        <v>2221103</v>
      </c>
    </row>
    <row r="30" customFormat="false" ht="15" hidden="false" customHeight="true" outlineLevel="0" collapsed="false">
      <c r="A30" s="5" t="s">
        <v>38</v>
      </c>
      <c r="B30" s="5"/>
      <c r="C30" s="5"/>
      <c r="D30" s="5"/>
      <c r="E30" s="5"/>
      <c r="F30" s="5"/>
      <c r="G30" s="5"/>
      <c r="H30" s="5"/>
    </row>
    <row r="31" customFormat="false" ht="15" hidden="false" customHeight="true" outlineLevel="0" collapsed="false">
      <c r="A31" s="6" t="s">
        <v>11</v>
      </c>
    </row>
    <row r="32" customFormat="false" ht="15" hidden="false" customHeight="true" outlineLevel="0" collapsed="false">
      <c r="A32" s="7" t="s">
        <v>39</v>
      </c>
      <c r="B32" s="8" t="s">
        <v>40</v>
      </c>
      <c r="C32" s="9" t="n">
        <v>179934</v>
      </c>
      <c r="D32" s="9" t="n">
        <v>197384</v>
      </c>
      <c r="E32" s="9" t="n">
        <v>282783</v>
      </c>
      <c r="F32" s="9" t="n">
        <v>285231</v>
      </c>
      <c r="G32" s="9" t="n">
        <v>334711</v>
      </c>
      <c r="H32" s="9" t="n">
        <v>345941</v>
      </c>
    </row>
    <row r="33" customFormat="false" ht="15" hidden="false" customHeight="true" outlineLevel="0" collapsed="false">
      <c r="A33" s="7" t="s">
        <v>41</v>
      </c>
      <c r="C33" s="9" t="n">
        <v>35948</v>
      </c>
      <c r="D33" s="9"/>
      <c r="E33" s="9"/>
      <c r="F33" s="9"/>
      <c r="G33" s="9"/>
      <c r="H33" s="9"/>
    </row>
    <row r="34" customFormat="false" ht="15" hidden="false" customHeight="true" outlineLevel="0" collapsed="false">
      <c r="A34" s="7" t="s">
        <v>42</v>
      </c>
      <c r="B34" s="8" t="s">
        <v>43</v>
      </c>
      <c r="C34" s="9" t="n">
        <v>48246</v>
      </c>
      <c r="D34" s="9" t="n">
        <v>32546</v>
      </c>
      <c r="E34" s="9" t="n">
        <v>44200</v>
      </c>
      <c r="F34" s="9" t="n">
        <v>47291</v>
      </c>
      <c r="G34" s="9" t="n">
        <v>73832</v>
      </c>
      <c r="H34" s="9" t="n">
        <v>85429</v>
      </c>
    </row>
    <row r="35" customFormat="false" ht="15" hidden="false" customHeight="true" outlineLevel="0" collapsed="false">
      <c r="A35" s="7" t="s">
        <v>44</v>
      </c>
      <c r="B35" s="8" t="s">
        <v>45</v>
      </c>
      <c r="C35" s="9" t="n">
        <v>33347</v>
      </c>
      <c r="D35" s="9" t="n">
        <v>24580</v>
      </c>
      <c r="E35" s="9" t="n">
        <v>40814</v>
      </c>
      <c r="F35" s="9" t="n">
        <v>41620</v>
      </c>
      <c r="G35" s="9" t="n">
        <v>62092</v>
      </c>
      <c r="H35" s="9" t="n">
        <v>63986</v>
      </c>
    </row>
    <row r="36" customFormat="false" ht="15" hidden="false" customHeight="true" outlineLevel="0" collapsed="false">
      <c r="A36" s="7" t="s">
        <v>46</v>
      </c>
      <c r="B36" s="8" t="s">
        <v>47</v>
      </c>
      <c r="C36" s="9" t="n">
        <v>94692</v>
      </c>
      <c r="D36" s="9" t="n">
        <v>120772</v>
      </c>
      <c r="E36" s="9" t="n">
        <v>136988</v>
      </c>
      <c r="F36" s="9" t="n">
        <v>150728</v>
      </c>
      <c r="G36" s="9" t="n">
        <v>121697</v>
      </c>
      <c r="H36" s="9" t="n">
        <v>142752</v>
      </c>
    </row>
    <row r="37" customFormat="false" ht="15" hidden="false" customHeight="true" outlineLevel="0" collapsed="false">
      <c r="A37" s="7" t="s">
        <v>48</v>
      </c>
      <c r="B37" s="8" t="s">
        <v>49</v>
      </c>
      <c r="C37" s="9"/>
      <c r="D37" s="9"/>
      <c r="E37" s="9"/>
      <c r="F37" s="9" t="n">
        <v>4931</v>
      </c>
      <c r="G37" s="9"/>
      <c r="H37" s="9" t="n">
        <v>8480</v>
      </c>
    </row>
    <row r="38" customFormat="false" ht="15" hidden="false" customHeight="true" outlineLevel="0" collapsed="false">
      <c r="A38" s="10" t="s">
        <v>50</v>
      </c>
      <c r="B38" s="11"/>
      <c r="C38" s="12" t="n">
        <f aca="false">SUM(C32,C33,C34,C35,C36,C37)</f>
        <v>392167</v>
      </c>
      <c r="D38" s="12" t="n">
        <f aca="false">SUM(D32,D33,D34,D35,D36,D37)</f>
        <v>375282</v>
      </c>
      <c r="E38" s="12" t="n">
        <f aca="false">SUM(E32,E33,E34,E35,E36,E37)</f>
        <v>504785</v>
      </c>
      <c r="F38" s="12" t="n">
        <f aca="false">SUM(F32,F33,F34,F35,F36,F37)</f>
        <v>529801</v>
      </c>
      <c r="G38" s="12" t="n">
        <f aca="false">SUM(G32,G33,G34,G35,G36,G37)</f>
        <v>592332</v>
      </c>
      <c r="H38" s="12" t="n">
        <f aca="false">SUM(H32,H33,H34,H35,H36,H37)</f>
        <v>646588</v>
      </c>
    </row>
    <row r="40" customFormat="false" ht="15" hidden="false" customHeight="true" outlineLevel="0" collapsed="false">
      <c r="A40" s="6" t="s">
        <v>25</v>
      </c>
    </row>
    <row r="41" customFormat="false" ht="15" hidden="false" customHeight="true" outlineLevel="0" collapsed="false">
      <c r="A41" s="7" t="s">
        <v>39</v>
      </c>
      <c r="B41" s="8" t="s">
        <v>40</v>
      </c>
      <c r="C41" s="9" t="n">
        <v>86369</v>
      </c>
      <c r="D41" s="9" t="n">
        <v>116942</v>
      </c>
      <c r="E41" s="9" t="n">
        <v>160530</v>
      </c>
      <c r="F41" s="9" t="n">
        <v>160530</v>
      </c>
      <c r="G41" s="9" t="n">
        <v>226369</v>
      </c>
      <c r="H41" s="9" t="n">
        <v>226369</v>
      </c>
    </row>
    <row r="42" customFormat="false" ht="15" hidden="false" customHeight="true" outlineLevel="0" collapsed="false">
      <c r="A42" s="7" t="s">
        <v>41</v>
      </c>
      <c r="C42" s="9"/>
      <c r="D42" s="9"/>
      <c r="E42" s="9"/>
      <c r="F42" s="9"/>
      <c r="G42" s="9"/>
      <c r="H42" s="9"/>
    </row>
    <row r="43" customFormat="false" ht="15" hidden="false" customHeight="true" outlineLevel="0" collapsed="false">
      <c r="A43" s="7" t="s">
        <v>42</v>
      </c>
      <c r="B43" s="8" t="s">
        <v>43</v>
      </c>
      <c r="C43" s="9" t="n">
        <v>196588</v>
      </c>
      <c r="D43" s="9" t="n">
        <v>155543</v>
      </c>
      <c r="E43" s="9" t="n">
        <v>151799</v>
      </c>
      <c r="F43" s="9" t="n">
        <v>151799</v>
      </c>
      <c r="G43" s="9" t="n">
        <v>147301</v>
      </c>
      <c r="H43" s="9" t="n">
        <v>147301</v>
      </c>
    </row>
    <row r="44" customFormat="false" ht="15" hidden="false" customHeight="true" outlineLevel="0" collapsed="false">
      <c r="A44" s="7" t="s">
        <v>51</v>
      </c>
      <c r="B44" s="8" t="s">
        <v>28</v>
      </c>
      <c r="C44" s="9" t="n">
        <v>100247</v>
      </c>
      <c r="D44" s="9" t="n">
        <v>88044</v>
      </c>
      <c r="E44" s="9" t="n">
        <v>95467</v>
      </c>
      <c r="F44" s="9" t="n">
        <v>95467</v>
      </c>
      <c r="G44" s="9" t="n">
        <v>72221</v>
      </c>
      <c r="H44" s="9" t="n">
        <v>72221</v>
      </c>
    </row>
    <row r="45" customFormat="false" ht="15" hidden="false" customHeight="true" outlineLevel="0" collapsed="false">
      <c r="A45" s="7" t="s">
        <v>52</v>
      </c>
      <c r="C45" s="9" t="n">
        <v>21976</v>
      </c>
      <c r="D45" s="9"/>
      <c r="E45" s="9"/>
      <c r="F45" s="9"/>
      <c r="G45" s="9"/>
      <c r="H45" s="9"/>
    </row>
    <row r="46" customFormat="false" ht="15" hidden="false" customHeight="true" outlineLevel="0" collapsed="false">
      <c r="A46" s="7" t="s">
        <v>53</v>
      </c>
      <c r="B46" s="8" t="s">
        <v>49</v>
      </c>
      <c r="C46" s="9"/>
      <c r="D46" s="9"/>
      <c r="E46" s="9"/>
      <c r="F46" s="9" t="n">
        <v>174561</v>
      </c>
      <c r="G46" s="9"/>
      <c r="H46" s="9" t="n">
        <v>171058</v>
      </c>
    </row>
    <row r="47" customFormat="false" ht="15" hidden="false" customHeight="true" outlineLevel="0" collapsed="false">
      <c r="A47" s="10" t="s">
        <v>54</v>
      </c>
      <c r="B47" s="11"/>
      <c r="C47" s="12" t="n">
        <f aca="false">SUM(C41,C42,C43,C44,C45,C46)</f>
        <v>405180</v>
      </c>
      <c r="D47" s="12" t="n">
        <f aca="false">SUM(D41,D42,D43,D44,D45,D46)</f>
        <v>360529</v>
      </c>
      <c r="E47" s="12" t="n">
        <f aca="false">SUM(E41,E42,E43,E44,E45,E46)</f>
        <v>407796</v>
      </c>
      <c r="F47" s="12" t="n">
        <f aca="false">SUM(F41,F42,F43,F44,F45,F46)</f>
        <v>582357</v>
      </c>
      <c r="G47" s="12" t="n">
        <f aca="false">SUM(G41,G42,G43,G44,G45,G46)</f>
        <v>445891</v>
      </c>
      <c r="H47" s="12" t="n">
        <f aca="false">SUM(H41,H42,H43,H44,H45,H46)</f>
        <v>616949</v>
      </c>
    </row>
    <row r="49" customFormat="false" ht="15" hidden="false" customHeight="true" outlineLevel="0" collapsed="false">
      <c r="A49" s="15" t="s">
        <v>55</v>
      </c>
      <c r="B49" s="16"/>
      <c r="C49" s="17" t="n">
        <f aca="false">C38+C47</f>
        <v>797347</v>
      </c>
      <c r="D49" s="17" t="n">
        <f aca="false">D38+D47</f>
        <v>735811</v>
      </c>
      <c r="E49" s="17" t="n">
        <f aca="false">E38+E47</f>
        <v>912581</v>
      </c>
      <c r="F49" s="17" t="n">
        <f aca="false">F38+F47</f>
        <v>1112158</v>
      </c>
      <c r="G49" s="17" t="n">
        <f aca="false">G38+G47</f>
        <v>1038223</v>
      </c>
      <c r="H49" s="17" t="n">
        <f aca="false">H38+H47</f>
        <v>1263537</v>
      </c>
    </row>
    <row r="51" customFormat="false" ht="15" hidden="false" customHeight="true" outlineLevel="0" collapsed="false">
      <c r="A51" s="5" t="s">
        <v>56</v>
      </c>
      <c r="B51" s="5"/>
      <c r="C51" s="5"/>
      <c r="D51" s="5"/>
      <c r="E51" s="5"/>
      <c r="F51" s="5"/>
      <c r="G51" s="5"/>
      <c r="H51" s="5"/>
    </row>
    <row r="52" customFormat="false" ht="15" hidden="false" customHeight="true" outlineLevel="0" collapsed="false">
      <c r="A52" s="7" t="s">
        <v>57</v>
      </c>
      <c r="B52" s="8" t="s">
        <v>58</v>
      </c>
      <c r="C52" s="9" t="n">
        <v>201332</v>
      </c>
      <c r="D52" s="9" t="n">
        <v>192981</v>
      </c>
      <c r="E52" s="9" t="n">
        <v>174336</v>
      </c>
      <c r="F52" s="9" t="n">
        <v>174336</v>
      </c>
      <c r="G52" s="9" t="n">
        <v>145127</v>
      </c>
      <c r="H52" s="9" t="n">
        <v>145127</v>
      </c>
    </row>
    <row r="53" customFormat="false" ht="15" hidden="false" customHeight="true" outlineLevel="0" collapsed="false">
      <c r="A53" s="7" t="s">
        <v>59</v>
      </c>
      <c r="B53" s="8" t="s">
        <v>58</v>
      </c>
      <c r="C53" s="9" t="n">
        <v>133214</v>
      </c>
      <c r="D53" s="9" t="n">
        <v>461110</v>
      </c>
      <c r="E53" s="9" t="n">
        <v>444124</v>
      </c>
      <c r="F53" s="9" t="n">
        <v>444124</v>
      </c>
      <c r="G53" s="9" t="n">
        <v>808998</v>
      </c>
      <c r="H53" s="9" t="n">
        <v>808998</v>
      </c>
    </row>
    <row r="54" customFormat="false" ht="15" hidden="false" customHeight="true" outlineLevel="0" collapsed="false">
      <c r="A54" s="10" t="s">
        <v>60</v>
      </c>
      <c r="B54" s="11"/>
      <c r="C54" s="12" t="n">
        <f aca="false">SUM(C52,C53)</f>
        <v>334546</v>
      </c>
      <c r="D54" s="12" t="n">
        <f aca="false">SUM(D52,D53)</f>
        <v>654091</v>
      </c>
      <c r="E54" s="12" t="n">
        <f aca="false">SUM(E52,E53)</f>
        <v>618460</v>
      </c>
      <c r="F54" s="12" t="n">
        <f aca="false">SUM(F52,F53)</f>
        <v>618460</v>
      </c>
      <c r="G54" s="12" t="n">
        <f aca="false">SUM(G52,G53)</f>
        <v>954125</v>
      </c>
      <c r="H54" s="12" t="n">
        <f aca="false">SUM(H52,H53)</f>
        <v>954125</v>
      </c>
    </row>
    <row r="55" customFormat="false" ht="15" hidden="false" customHeight="true" outlineLevel="0" collapsed="false">
      <c r="A55" s="7" t="s">
        <v>61</v>
      </c>
      <c r="B55" s="8" t="s">
        <v>30</v>
      </c>
      <c r="C55" s="9"/>
      <c r="D55" s="9"/>
      <c r="E55" s="9"/>
      <c r="F55" s="9" t="n">
        <v>1293</v>
      </c>
      <c r="G55" s="9"/>
      <c r="H55" s="9" t="n">
        <v>3441</v>
      </c>
    </row>
    <row r="56" customFormat="false" ht="15" hidden="false" customHeight="true" outlineLevel="0" collapsed="false">
      <c r="A56" s="15" t="s">
        <v>62</v>
      </c>
      <c r="B56" s="16"/>
      <c r="C56" s="17" t="n">
        <f aca="false">C54+C55</f>
        <v>334546</v>
      </c>
      <c r="D56" s="17" t="n">
        <f aca="false">D54+D55</f>
        <v>654091</v>
      </c>
      <c r="E56" s="17" t="n">
        <f aca="false">E54+E55</f>
        <v>618460</v>
      </c>
      <c r="F56" s="17" t="n">
        <f aca="false">F54+F55</f>
        <v>619753</v>
      </c>
      <c r="G56" s="17" t="n">
        <f aca="false">G54+G55</f>
        <v>954125</v>
      </c>
      <c r="H56" s="17" t="n">
        <f aca="false">H54+H55</f>
        <v>957566</v>
      </c>
    </row>
    <row r="58" customFormat="false" ht="15" hidden="false" customHeight="true" outlineLevel="0" collapsed="false">
      <c r="A58" s="15" t="s">
        <v>63</v>
      </c>
      <c r="B58" s="16"/>
      <c r="C58" s="17" t="n">
        <f aca="false">C49+C56</f>
        <v>1131893</v>
      </c>
      <c r="D58" s="17" t="n">
        <f aca="false">D49+D56</f>
        <v>1389902</v>
      </c>
      <c r="E58" s="17" t="n">
        <f aca="false">E49+E56</f>
        <v>1531041</v>
      </c>
      <c r="F58" s="17" t="n">
        <f aca="false">F49+F56</f>
        <v>1731911</v>
      </c>
      <c r="G58" s="17" t="n">
        <f aca="false">G49+G56</f>
        <v>1992348</v>
      </c>
      <c r="H58" s="17" t="n">
        <f aca="false">H49+H56</f>
        <v>2221103</v>
      </c>
    </row>
    <row r="60" customFormat="false" ht="15" hidden="false" customHeight="true" outlineLevel="0" collapsed="false">
      <c r="A60" s="18" t="s">
        <v>64</v>
      </c>
      <c r="B60" s="19"/>
      <c r="C60" s="20" t="n">
        <f aca="false">C28-C58</f>
        <v>0</v>
      </c>
      <c r="D60" s="20" t="n">
        <f aca="false">D28-D58</f>
        <v>0</v>
      </c>
      <c r="E60" s="20" t="n">
        <f aca="false">E28-E58</f>
        <v>0</v>
      </c>
      <c r="F60" s="20" t="n">
        <f aca="false">F28-F58</f>
        <v>0</v>
      </c>
      <c r="G60" s="20" t="n">
        <f aca="false">G28-G58</f>
        <v>0</v>
      </c>
      <c r="H60" s="20" t="n">
        <f aca="false">H28-H58</f>
        <v>0</v>
      </c>
    </row>
    <row r="62" customFormat="false" ht="15" hidden="false" customHeight="true" outlineLevel="0" collapsed="false">
      <c r="A62" s="21" t="s">
        <v>65</v>
      </c>
    </row>
    <row r="63" customFormat="false" ht="15" hidden="false" customHeight="true" outlineLevel="0" collapsed="false">
      <c r="A63" s="22" t="s">
        <v>66</v>
      </c>
      <c r="B63" s="22"/>
      <c r="C63" s="22"/>
      <c r="D63" s="22"/>
      <c r="E63" s="22"/>
      <c r="F63" s="22"/>
      <c r="G63" s="22"/>
      <c r="H63" s="22"/>
    </row>
    <row r="64" customFormat="false" ht="15" hidden="false" customHeight="true" outlineLevel="0" collapsed="false">
      <c r="A64" s="22" t="s">
        <v>67</v>
      </c>
      <c r="B64" s="22"/>
      <c r="C64" s="22"/>
      <c r="D64" s="22"/>
      <c r="E64" s="22"/>
      <c r="F64" s="22"/>
      <c r="G64" s="22"/>
      <c r="H64" s="22"/>
    </row>
    <row r="65" customFormat="false" ht="15" hidden="false" customHeight="true" outlineLevel="0" collapsed="false">
      <c r="A65" s="22" t="s">
        <v>68</v>
      </c>
      <c r="B65" s="22"/>
      <c r="C65" s="22"/>
      <c r="D65" s="22"/>
      <c r="E65" s="22"/>
      <c r="F65" s="22"/>
      <c r="G65" s="22"/>
      <c r="H65" s="22"/>
    </row>
    <row r="66" customFormat="false" ht="15" hidden="false" customHeight="true" outlineLevel="0" collapsed="false">
      <c r="A66" s="22" t="s">
        <v>69</v>
      </c>
      <c r="B66" s="22"/>
      <c r="C66" s="22"/>
      <c r="D66" s="22"/>
      <c r="E66" s="22"/>
      <c r="F66" s="22"/>
      <c r="G66" s="22"/>
      <c r="H66" s="22"/>
    </row>
    <row r="67" customFormat="false" ht="15" hidden="false" customHeight="true" outlineLevel="0" collapsed="false">
      <c r="A67" s="22" t="s">
        <v>70</v>
      </c>
      <c r="B67" s="22"/>
      <c r="C67" s="22"/>
      <c r="D67" s="22"/>
      <c r="E67" s="22"/>
      <c r="F67" s="22"/>
      <c r="G67" s="22"/>
      <c r="H67" s="22"/>
    </row>
    <row r="68" customFormat="false" ht="15" hidden="false" customHeight="true" outlineLevel="0" collapsed="false">
      <c r="A68" s="22" t="s">
        <v>71</v>
      </c>
      <c r="B68" s="22"/>
      <c r="C68" s="22"/>
      <c r="D68" s="22"/>
      <c r="E68" s="22"/>
      <c r="F68" s="22"/>
      <c r="G68" s="22"/>
      <c r="H68" s="22"/>
    </row>
    <row r="69" customFormat="false" ht="15" hidden="false" customHeight="true" outlineLevel="0" collapsed="false">
      <c r="A69" s="22" t="s">
        <v>72</v>
      </c>
      <c r="B69" s="22"/>
      <c r="C69" s="22"/>
      <c r="D69" s="22"/>
      <c r="E69" s="22"/>
      <c r="F69" s="22"/>
      <c r="G69" s="22"/>
      <c r="H69" s="22"/>
    </row>
    <row r="70" customFormat="false" ht="15" hidden="false" customHeight="true" outlineLevel="0" collapsed="false">
      <c r="A70" s="22" t="s">
        <v>73</v>
      </c>
      <c r="B70" s="22"/>
      <c r="C70" s="22"/>
      <c r="D70" s="22"/>
      <c r="E70" s="22"/>
      <c r="F70" s="22"/>
      <c r="G70" s="22"/>
      <c r="H70" s="22"/>
    </row>
    <row r="71" customFormat="false" ht="15" hidden="false" customHeight="true" outlineLevel="0" collapsed="false">
      <c r="A71" s="22" t="s">
        <v>74</v>
      </c>
      <c r="B71" s="22"/>
      <c r="C71" s="22"/>
      <c r="D71" s="22"/>
      <c r="E71" s="22"/>
      <c r="F71" s="22"/>
      <c r="G71" s="22"/>
      <c r="H71" s="22"/>
    </row>
    <row r="72" customFormat="false" ht="15" hidden="false" customHeight="true" outlineLevel="0" collapsed="false">
      <c r="A72" s="22" t="s">
        <v>75</v>
      </c>
      <c r="B72" s="22"/>
      <c r="C72" s="22"/>
      <c r="D72" s="22"/>
      <c r="E72" s="22"/>
      <c r="F72" s="22"/>
      <c r="G72" s="22"/>
      <c r="H72" s="22"/>
    </row>
  </sheetData>
  <mergeCells count="15">
    <mergeCell ref="A1:H1"/>
    <mergeCell ref="A2:H2"/>
    <mergeCell ref="A5:H5"/>
    <mergeCell ref="A30:H30"/>
    <mergeCell ref="A51:H51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8"/>
    <col collapsed="false" customWidth="true" hidden="false" outlineLevel="0" max="8" min="3" style="1" width="14"/>
  </cols>
  <sheetData>
    <row r="1" customFormat="false" ht="17.25" hidden="false" customHeight="true" outlineLevel="0" collapsed="false">
      <c r="A1" s="2" t="s">
        <v>76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77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3" t="s">
        <v>2</v>
      </c>
      <c r="B4" s="23" t="s">
        <v>3</v>
      </c>
      <c r="C4" s="23" t="s">
        <v>78</v>
      </c>
      <c r="D4" s="23" t="s">
        <v>79</v>
      </c>
      <c r="E4" s="23" t="s">
        <v>6</v>
      </c>
      <c r="F4" s="23" t="s">
        <v>7</v>
      </c>
      <c r="G4" s="23" t="s">
        <v>8</v>
      </c>
      <c r="H4" s="23" t="s">
        <v>9</v>
      </c>
    </row>
    <row r="6" customFormat="false" ht="15" hidden="false" customHeight="true" outlineLevel="0" collapsed="false">
      <c r="A6" s="10" t="s">
        <v>80</v>
      </c>
      <c r="B6" s="13" t="s">
        <v>81</v>
      </c>
      <c r="C6" s="14" t="n">
        <v>979078</v>
      </c>
      <c r="D6" s="14" t="n">
        <v>1012380</v>
      </c>
      <c r="E6" s="14" t="n">
        <v>1142151</v>
      </c>
      <c r="F6" s="14" t="n">
        <v>1158862</v>
      </c>
      <c r="G6" s="14" t="n">
        <v>1393755</v>
      </c>
      <c r="H6" s="14" t="n">
        <v>1499741</v>
      </c>
    </row>
    <row r="8" customFormat="false" ht="15" hidden="false" customHeight="true" outlineLevel="0" collapsed="false">
      <c r="A8" s="5" t="s">
        <v>82</v>
      </c>
      <c r="B8" s="5"/>
      <c r="C8" s="5"/>
      <c r="D8" s="5"/>
      <c r="E8" s="5"/>
      <c r="F8" s="5"/>
      <c r="G8" s="5"/>
      <c r="H8" s="5"/>
    </row>
    <row r="9" customFormat="false" ht="15" hidden="false" customHeight="true" outlineLevel="0" collapsed="false">
      <c r="A9" s="7" t="s">
        <v>83</v>
      </c>
      <c r="B9" s="8" t="s">
        <v>84</v>
      </c>
      <c r="C9" s="9" t="n">
        <v>-761192</v>
      </c>
      <c r="D9" s="9" t="n">
        <v>-853762</v>
      </c>
      <c r="E9" s="9" t="n">
        <v>-982446</v>
      </c>
      <c r="F9" s="9" t="n">
        <v>-988412</v>
      </c>
      <c r="G9" s="9" t="n">
        <v>-1171697</v>
      </c>
      <c r="H9" s="9" t="n">
        <v>-1194220</v>
      </c>
    </row>
    <row r="10" customFormat="false" ht="15" hidden="false" customHeight="true" outlineLevel="0" collapsed="false">
      <c r="A10" s="10" t="s">
        <v>85</v>
      </c>
      <c r="B10" s="11"/>
      <c r="C10" s="12" t="n">
        <f aca="false">C6+C9</f>
        <v>217886</v>
      </c>
      <c r="D10" s="12" t="n">
        <f aca="false">D6+D9</f>
        <v>158618</v>
      </c>
      <c r="E10" s="12" t="n">
        <f aca="false">E6+E9</f>
        <v>159705</v>
      </c>
      <c r="F10" s="12" t="n">
        <f aca="false">F6+F9</f>
        <v>170450</v>
      </c>
      <c r="G10" s="12" t="n">
        <f aca="false">G6+G9</f>
        <v>222058</v>
      </c>
      <c r="H10" s="12" t="n">
        <f aca="false">H6+H9</f>
        <v>305521</v>
      </c>
    </row>
    <row r="11" customFormat="false" ht="15" hidden="false" customHeight="true" outlineLevel="0" collapsed="false">
      <c r="A11" s="24" t="s">
        <v>86</v>
      </c>
      <c r="B11" s="25"/>
      <c r="C11" s="26" t="n">
        <f aca="false">IFERROR(C10/C6,0)</f>
        <v>0.22254202423096</v>
      </c>
      <c r="D11" s="26" t="n">
        <f aca="false">IFERROR(D10/D6,0)</f>
        <v>0.156678322369071</v>
      </c>
      <c r="E11" s="26" t="n">
        <f aca="false">IFERROR(E10/E6,0)</f>
        <v>0.139828271393187</v>
      </c>
      <c r="F11" s="26" t="n">
        <f aca="false">IFERROR(F10/F6,0)</f>
        <v>0.147083949598831</v>
      </c>
      <c r="G11" s="26" t="n">
        <f aca="false">IFERROR(G10/G6,0)</f>
        <v>0.159323553996219</v>
      </c>
      <c r="H11" s="26" t="n">
        <f aca="false">IFERROR(H10/H6,0)</f>
        <v>0.203715841601983</v>
      </c>
    </row>
    <row r="13" customFormat="false" ht="15" hidden="false" customHeight="true" outlineLevel="0" collapsed="false">
      <c r="A13" s="5" t="s">
        <v>87</v>
      </c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7" t="s">
        <v>88</v>
      </c>
      <c r="B14" s="8" t="s">
        <v>89</v>
      </c>
      <c r="C14" s="9" t="n">
        <v>-78698</v>
      </c>
      <c r="D14" s="9" t="n">
        <v>-74523</v>
      </c>
      <c r="E14" s="9" t="n">
        <v>-113121</v>
      </c>
      <c r="F14" s="9" t="n">
        <v>-118490</v>
      </c>
      <c r="G14" s="9" t="n">
        <v>-121492</v>
      </c>
      <c r="H14" s="9" t="n">
        <v>-142285</v>
      </c>
    </row>
    <row r="15" customFormat="false" ht="15" hidden="false" customHeight="true" outlineLevel="0" collapsed="false">
      <c r="A15" s="7" t="s">
        <v>90</v>
      </c>
      <c r="B15" s="8" t="s">
        <v>91</v>
      </c>
      <c r="C15" s="9" t="n">
        <v>-31171</v>
      </c>
      <c r="D15" s="9" t="n">
        <v>-31871</v>
      </c>
      <c r="E15" s="9" t="n">
        <v>-37759</v>
      </c>
      <c r="F15" s="9" t="n">
        <v>-37759</v>
      </c>
      <c r="G15" s="9" t="n">
        <v>-37763</v>
      </c>
      <c r="H15" s="9" t="n">
        <v>-39610</v>
      </c>
    </row>
    <row r="16" customFormat="false" ht="15" hidden="false" customHeight="true" outlineLevel="0" collapsed="false">
      <c r="A16" s="7" t="s">
        <v>92</v>
      </c>
      <c r="B16" s="8" t="s">
        <v>93</v>
      </c>
      <c r="C16" s="9" t="n">
        <v>48659</v>
      </c>
      <c r="D16" s="9" t="n">
        <v>239475</v>
      </c>
      <c r="E16" s="9" t="n">
        <v>39389</v>
      </c>
      <c r="F16" s="9" t="n">
        <v>31930</v>
      </c>
      <c r="G16" s="9" t="n">
        <v>236718</v>
      </c>
      <c r="H16" s="9" t="n">
        <v>227260</v>
      </c>
    </row>
    <row r="17" customFormat="false" ht="15" hidden="false" customHeight="true" outlineLevel="0" collapsed="false">
      <c r="A17" s="7" t="s">
        <v>94</v>
      </c>
      <c r="B17" s="8" t="s">
        <v>30</v>
      </c>
      <c r="C17" s="9"/>
      <c r="D17" s="9"/>
      <c r="E17" s="9" t="n">
        <v>-3465</v>
      </c>
      <c r="F17" s="9"/>
      <c r="G17" s="9" t="n">
        <v>13939</v>
      </c>
      <c r="H17" s="9"/>
    </row>
    <row r="18" customFormat="false" ht="15" hidden="false" customHeight="true" outlineLevel="0" collapsed="false">
      <c r="A18" s="10" t="s">
        <v>95</v>
      </c>
      <c r="B18" s="11"/>
      <c r="C18" s="12" t="n">
        <f aca="false">C10+C14+C15+C16+C17</f>
        <v>156676</v>
      </c>
      <c r="D18" s="12" t="n">
        <f aca="false">D10+D14+D15+D16+D17</f>
        <v>291699</v>
      </c>
      <c r="E18" s="12" t="n">
        <f aca="false">E10+E14+E15+E16+E17</f>
        <v>44749</v>
      </c>
      <c r="F18" s="12" t="n">
        <f aca="false">F10+F14+F15+F16+F17</f>
        <v>46131</v>
      </c>
      <c r="G18" s="12" t="n">
        <f aca="false">G10+G14+G15+G16+G17</f>
        <v>313460</v>
      </c>
      <c r="H18" s="12" t="n">
        <f aca="false">H10+H14+H15+H16+H17</f>
        <v>350886</v>
      </c>
    </row>
    <row r="19" customFormat="false" ht="15" hidden="false" customHeight="true" outlineLevel="0" collapsed="false">
      <c r="A19" s="24" t="s">
        <v>96</v>
      </c>
      <c r="B19" s="25"/>
      <c r="C19" s="26" t="n">
        <f aca="false">IFERROR(C18/C6,0)</f>
        <v>0.160024022600855</v>
      </c>
      <c r="D19" s="26" t="n">
        <f aca="false">IFERROR(D18/D6,0)</f>
        <v>0.288131926746874</v>
      </c>
      <c r="E19" s="26" t="n">
        <f aca="false">IFERROR(E18/E6,0)</f>
        <v>0.0391795830848986</v>
      </c>
      <c r="F19" s="26" t="n">
        <f aca="false">IFERROR(F18/F6,0)</f>
        <v>0.0398071556406199</v>
      </c>
      <c r="G19" s="26" t="n">
        <f aca="false">IFERROR(G18/G6,0)</f>
        <v>0.224903229046712</v>
      </c>
      <c r="H19" s="26" t="n">
        <f aca="false">IFERROR(H18/H6,0)</f>
        <v>0.233964397852696</v>
      </c>
    </row>
    <row r="21" customFormat="false" ht="15" hidden="false" customHeight="true" outlineLevel="0" collapsed="false">
      <c r="A21" s="5" t="s">
        <v>97</v>
      </c>
      <c r="B21" s="5"/>
      <c r="C21" s="5"/>
      <c r="D21" s="5"/>
      <c r="E21" s="5"/>
      <c r="F21" s="5"/>
      <c r="G21" s="5"/>
      <c r="H21" s="5"/>
    </row>
    <row r="22" customFormat="false" ht="15" hidden="false" customHeight="true" outlineLevel="0" collapsed="false">
      <c r="A22" s="7" t="s">
        <v>98</v>
      </c>
      <c r="B22" s="8" t="s">
        <v>99</v>
      </c>
      <c r="C22" s="9" t="n">
        <v>-34274</v>
      </c>
      <c r="D22" s="9" t="n">
        <v>-30657</v>
      </c>
      <c r="E22" s="9" t="n">
        <v>-59474</v>
      </c>
      <c r="F22" s="9" t="n">
        <v>-61556</v>
      </c>
      <c r="G22" s="9" t="n">
        <v>-28534</v>
      </c>
      <c r="H22" s="9" t="n">
        <v>-46501</v>
      </c>
    </row>
    <row r="23" customFormat="false" ht="15" hidden="false" customHeight="true" outlineLevel="0" collapsed="false">
      <c r="A23" s="7" t="s">
        <v>100</v>
      </c>
      <c r="B23" s="8" t="s">
        <v>99</v>
      </c>
      <c r="C23" s="9" t="n">
        <v>13288</v>
      </c>
      <c r="D23" s="9" t="n">
        <v>58503</v>
      </c>
      <c r="E23" s="9" t="n">
        <v>13991</v>
      </c>
      <c r="F23" s="9" t="n">
        <v>15370</v>
      </c>
      <c r="G23" s="9" t="n">
        <v>50739</v>
      </c>
      <c r="H23" s="9" t="n">
        <v>53492</v>
      </c>
    </row>
    <row r="24" customFormat="false" ht="15" hidden="false" customHeight="true" outlineLevel="0" collapsed="false">
      <c r="A24" s="10" t="s">
        <v>101</v>
      </c>
      <c r="B24" s="11"/>
      <c r="C24" s="12" t="n">
        <f aca="false">C22+C23</f>
        <v>-20986</v>
      </c>
      <c r="D24" s="12" t="n">
        <f aca="false">D22+D23</f>
        <v>27846</v>
      </c>
      <c r="E24" s="12" t="n">
        <f aca="false">E22+E23</f>
        <v>-45483</v>
      </c>
      <c r="F24" s="12" t="n">
        <f aca="false">F22+F23</f>
        <v>-46186</v>
      </c>
      <c r="G24" s="12" t="n">
        <f aca="false">G22+G23</f>
        <v>22205</v>
      </c>
      <c r="H24" s="12" t="n">
        <f aca="false">H22+H23</f>
        <v>6991</v>
      </c>
    </row>
    <row r="26" customFormat="false" ht="15" hidden="false" customHeight="true" outlineLevel="0" collapsed="false">
      <c r="A26" s="10" t="s">
        <v>102</v>
      </c>
      <c r="B26" s="11"/>
      <c r="C26" s="12" t="n">
        <f aca="false">C18+C24</f>
        <v>135690</v>
      </c>
      <c r="D26" s="12" t="n">
        <f aca="false">D18+D24</f>
        <v>319545</v>
      </c>
      <c r="E26" s="12" t="n">
        <f aca="false">E18+E24</f>
        <v>-734</v>
      </c>
      <c r="F26" s="12" t="n">
        <f aca="false">F18+F24</f>
        <v>-55</v>
      </c>
      <c r="G26" s="12" t="n">
        <f aca="false">G18+G24</f>
        <v>335665</v>
      </c>
      <c r="H26" s="12" t="n">
        <f aca="false">H18+H24</f>
        <v>357877</v>
      </c>
    </row>
    <row r="27" customFormat="false" ht="15" hidden="false" customHeight="true" outlineLevel="0" collapsed="false">
      <c r="A27" s="7" t="s">
        <v>103</v>
      </c>
      <c r="B27" s="8" t="s">
        <v>43</v>
      </c>
      <c r="C27" s="9"/>
      <c r="D27" s="9"/>
      <c r="E27" s="9"/>
      <c r="F27" s="9" t="n">
        <v>-2546</v>
      </c>
      <c r="G27" s="9"/>
      <c r="H27" s="9" t="n">
        <v>-14706</v>
      </c>
    </row>
    <row r="28" customFormat="false" ht="15" hidden="false" customHeight="true" outlineLevel="0" collapsed="false">
      <c r="A28" s="27" t="s">
        <v>104</v>
      </c>
      <c r="B28" s="16"/>
      <c r="C28" s="17" t="n">
        <f aca="false">C26+C27</f>
        <v>135690</v>
      </c>
      <c r="D28" s="17" t="n">
        <f aca="false">D26+D27</f>
        <v>319545</v>
      </c>
      <c r="E28" s="17" t="n">
        <f aca="false">E26+E27</f>
        <v>-734</v>
      </c>
      <c r="F28" s="17" t="n">
        <f aca="false">F26+F27</f>
        <v>-2601</v>
      </c>
      <c r="G28" s="17" t="n">
        <f aca="false">G26+G27</f>
        <v>335665</v>
      </c>
      <c r="H28" s="17" t="n">
        <f aca="false">H26+H27</f>
        <v>343171</v>
      </c>
    </row>
    <row r="29" customFormat="false" ht="15" hidden="false" customHeight="true" outlineLevel="0" collapsed="false">
      <c r="A29" s="24" t="s">
        <v>105</v>
      </c>
      <c r="B29" s="25"/>
      <c r="C29" s="26" t="n">
        <f aca="false">IFERROR(C28/C6,0)</f>
        <v>0.138589571004557</v>
      </c>
      <c r="D29" s="26" t="n">
        <f aca="false">IFERROR(D28/D6,0)</f>
        <v>0.315637408878089</v>
      </c>
      <c r="E29" s="26" t="n">
        <f aca="false">IFERROR(E28/E6,0)</f>
        <v>-0.000642647075561813</v>
      </c>
      <c r="F29" s="26" t="n">
        <f aca="false">IFERROR(F28/F6,0)</f>
        <v>-0.00224444325553862</v>
      </c>
      <c r="G29" s="26" t="n">
        <f aca="false">IFERROR(G28/G6,0)</f>
        <v>0.240835010457362</v>
      </c>
      <c r="H29" s="26" t="n">
        <f aca="false">IFERROR(H28/H6,0)</f>
        <v>0.228820176283772</v>
      </c>
    </row>
    <row r="31" customFormat="false" ht="15" hidden="false" customHeight="true" outlineLevel="0" collapsed="false">
      <c r="A31" s="21" t="s">
        <v>65</v>
      </c>
    </row>
    <row r="32" customFormat="false" ht="15" hidden="false" customHeight="true" outlineLevel="0" collapsed="false">
      <c r="A32" s="22" t="s">
        <v>106</v>
      </c>
      <c r="B32" s="22"/>
      <c r="C32" s="22"/>
      <c r="D32" s="22"/>
      <c r="E32" s="22"/>
      <c r="F32" s="22"/>
      <c r="G32" s="22"/>
      <c r="H32" s="22"/>
    </row>
    <row r="33" customFormat="false" ht="15" hidden="false" customHeight="true" outlineLevel="0" collapsed="false">
      <c r="A33" s="22" t="s">
        <v>107</v>
      </c>
      <c r="B33" s="22"/>
      <c r="C33" s="22"/>
      <c r="D33" s="22"/>
      <c r="E33" s="22"/>
      <c r="F33" s="22"/>
      <c r="G33" s="22"/>
      <c r="H33" s="22"/>
    </row>
    <row r="34" customFormat="false" ht="15" hidden="false" customHeight="true" outlineLevel="0" collapsed="false">
      <c r="A34" s="22" t="s">
        <v>108</v>
      </c>
      <c r="B34" s="22"/>
      <c r="C34" s="22"/>
      <c r="D34" s="22"/>
      <c r="E34" s="22"/>
      <c r="F34" s="22"/>
      <c r="G34" s="22"/>
      <c r="H34" s="22"/>
    </row>
    <row r="35" customFormat="false" ht="15" hidden="false" customHeight="true" outlineLevel="0" collapsed="false">
      <c r="A35" s="22" t="s">
        <v>109</v>
      </c>
      <c r="B35" s="22"/>
      <c r="C35" s="22"/>
      <c r="D35" s="22"/>
      <c r="E35" s="22"/>
      <c r="F35" s="22"/>
      <c r="G35" s="22"/>
      <c r="H35" s="22"/>
    </row>
    <row r="36" customFormat="false" ht="15" hidden="false" customHeight="true" outlineLevel="0" collapsed="false">
      <c r="A36" s="22" t="s">
        <v>110</v>
      </c>
      <c r="B36" s="22"/>
      <c r="C36" s="22"/>
      <c r="D36" s="22"/>
      <c r="E36" s="22"/>
      <c r="F36" s="22"/>
      <c r="G36" s="22"/>
      <c r="H36" s="22"/>
    </row>
    <row r="37" customFormat="false" ht="15" hidden="false" customHeight="true" outlineLevel="0" collapsed="false">
      <c r="A37" s="22" t="s">
        <v>111</v>
      </c>
      <c r="B37" s="22"/>
      <c r="C37" s="22"/>
      <c r="D37" s="22"/>
      <c r="E37" s="22"/>
      <c r="F37" s="22"/>
      <c r="G37" s="22"/>
      <c r="H37" s="22"/>
    </row>
    <row r="38" customFormat="false" ht="15" hidden="false" customHeight="true" outlineLevel="0" collapsed="false">
      <c r="A38" s="22" t="s">
        <v>112</v>
      </c>
      <c r="B38" s="22"/>
      <c r="C38" s="22"/>
      <c r="D38" s="22"/>
      <c r="E38" s="22"/>
      <c r="F38" s="22"/>
      <c r="G38" s="22"/>
      <c r="H38" s="22"/>
    </row>
    <row r="39" customFormat="false" ht="15" hidden="false" customHeight="true" outlineLevel="0" collapsed="false">
      <c r="A39" s="22" t="s">
        <v>113</v>
      </c>
      <c r="B39" s="22"/>
      <c r="C39" s="22"/>
      <c r="D39" s="22"/>
      <c r="E39" s="22"/>
      <c r="F39" s="22"/>
      <c r="G39" s="22"/>
      <c r="H39" s="22"/>
    </row>
    <row r="42" customFormat="false" ht="15" hidden="false" customHeight="true" outlineLevel="0" collapsed="false">
      <c r="A42" s="28" t="s">
        <v>114</v>
      </c>
      <c r="B42" s="28"/>
      <c r="C42" s="28"/>
      <c r="D42" s="28"/>
      <c r="E42" s="28"/>
      <c r="F42" s="28"/>
      <c r="G42" s="28"/>
      <c r="H42" s="28"/>
    </row>
    <row r="43" customFormat="false" ht="15" hidden="false" customHeight="true" outlineLevel="0" collapsed="false">
      <c r="A43" s="29" t="s">
        <v>2</v>
      </c>
      <c r="C43" s="12" t="s">
        <v>115</v>
      </c>
      <c r="E43" s="12" t="s">
        <v>116</v>
      </c>
      <c r="G43" s="12" t="s">
        <v>117</v>
      </c>
    </row>
    <row r="44" customFormat="false" ht="15" hidden="false" customHeight="true" outlineLevel="0" collapsed="false">
      <c r="A44" s="30" t="s">
        <v>80</v>
      </c>
      <c r="C44" s="31" t="n">
        <v>1112429</v>
      </c>
      <c r="E44" s="31" t="n">
        <v>-133351</v>
      </c>
      <c r="G44" s="31" t="n">
        <v>979078</v>
      </c>
    </row>
    <row r="45" customFormat="false" ht="15" hidden="false" customHeight="true" outlineLevel="0" collapsed="false">
      <c r="A45" s="30" t="s">
        <v>118</v>
      </c>
      <c r="C45" s="31" t="n">
        <v>-827538</v>
      </c>
      <c r="E45" s="31" t="n">
        <v>66346</v>
      </c>
      <c r="G45" s="31" t="n">
        <v>-761192</v>
      </c>
    </row>
    <row r="46" customFormat="false" ht="15" hidden="false" customHeight="true" outlineLevel="0" collapsed="false">
      <c r="A46" s="30" t="s">
        <v>85</v>
      </c>
      <c r="C46" s="31" t="n">
        <v>284891</v>
      </c>
      <c r="E46" s="31" t="n">
        <v>-67005</v>
      </c>
      <c r="G46" s="31" t="n">
        <v>217886</v>
      </c>
    </row>
    <row r="47" customFormat="false" ht="15" hidden="false" customHeight="true" outlineLevel="0" collapsed="false">
      <c r="A47" s="30" t="s">
        <v>119</v>
      </c>
      <c r="C47" s="31" t="n">
        <v>-18346</v>
      </c>
      <c r="E47" s="31" t="n">
        <v>67005</v>
      </c>
      <c r="G47" s="31" t="n">
        <v>48659</v>
      </c>
    </row>
    <row r="48" customFormat="false" ht="15" hidden="false" customHeight="true" outlineLevel="0" collapsed="false">
      <c r="A48" s="30" t="s">
        <v>120</v>
      </c>
      <c r="C48" s="31" t="n">
        <v>156676</v>
      </c>
      <c r="E48" s="31" t="n">
        <v>0</v>
      </c>
      <c r="G48" s="31" t="n">
        <v>156676</v>
      </c>
    </row>
    <row r="49" customFormat="false" ht="15" hidden="false" customHeight="true" outlineLevel="0" collapsed="false">
      <c r="A49" s="30" t="s">
        <v>121</v>
      </c>
      <c r="C49" s="31" t="n">
        <v>135690</v>
      </c>
      <c r="E49" s="31" t="n">
        <v>0</v>
      </c>
      <c r="G49" s="31" t="n">
        <v>135690</v>
      </c>
    </row>
  </sheetData>
  <mergeCells count="14">
    <mergeCell ref="A1:H1"/>
    <mergeCell ref="A2:H2"/>
    <mergeCell ref="A8:H8"/>
    <mergeCell ref="A13:H13"/>
    <mergeCell ref="A21:H21"/>
    <mergeCell ref="A32:H32"/>
    <mergeCell ref="A33:H33"/>
    <mergeCell ref="A34:H34"/>
    <mergeCell ref="A35:H35"/>
    <mergeCell ref="A36:H36"/>
    <mergeCell ref="A37:H37"/>
    <mergeCell ref="A38:H38"/>
    <mergeCell ref="A39:H39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8"/>
    <col collapsed="false" customWidth="true" hidden="false" outlineLevel="0" max="8" min="3" style="1" width="14"/>
  </cols>
  <sheetData>
    <row r="1" customFormat="false" ht="17.25" hidden="false" customHeight="true" outlineLevel="0" collapsed="false">
      <c r="A1" s="2" t="s">
        <v>122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123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</row>
    <row r="6" customFormat="false" ht="15" hidden="false" customHeight="true" outlineLevel="0" collapsed="false">
      <c r="A6" s="5" t="s">
        <v>124</v>
      </c>
      <c r="B6" s="5"/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7" t="s">
        <v>125</v>
      </c>
      <c r="B7" s="8" t="s">
        <v>81</v>
      </c>
      <c r="C7" s="9" t="n">
        <v>57637</v>
      </c>
      <c r="D7" s="9" t="n">
        <v>149870</v>
      </c>
      <c r="E7" s="9" t="n">
        <v>141948</v>
      </c>
      <c r="F7" s="9" t="n">
        <v>141948</v>
      </c>
      <c r="G7" s="9" t="n">
        <v>203368</v>
      </c>
      <c r="H7" s="9" t="n">
        <v>203368</v>
      </c>
    </row>
    <row r="8" customFormat="false" ht="15" hidden="false" customHeight="true" outlineLevel="0" collapsed="false">
      <c r="A8" s="32" t="s">
        <v>126</v>
      </c>
      <c r="B8" s="33" t="s">
        <v>81</v>
      </c>
      <c r="C8" s="34" t="n">
        <v>264739</v>
      </c>
      <c r="D8" s="34" t="n">
        <v>96992</v>
      </c>
      <c r="E8" s="34" t="n">
        <v>132374</v>
      </c>
      <c r="F8" s="34" t="n">
        <v>132374</v>
      </c>
      <c r="G8" s="34" t="n">
        <v>378797</v>
      </c>
      <c r="H8" s="34" t="n">
        <v>378797</v>
      </c>
    </row>
    <row r="9" customFormat="false" ht="15" hidden="false" customHeight="true" outlineLevel="0" collapsed="false">
      <c r="A9" s="7" t="s">
        <v>127</v>
      </c>
      <c r="B9" s="8" t="s">
        <v>81</v>
      </c>
      <c r="C9" s="9" t="n">
        <v>173210</v>
      </c>
      <c r="D9" s="9" t="n">
        <v>178534</v>
      </c>
      <c r="E9" s="9" t="n">
        <v>179221</v>
      </c>
      <c r="F9" s="9" t="n">
        <v>179221</v>
      </c>
      <c r="G9" s="9" t="n">
        <v>29388</v>
      </c>
      <c r="H9" s="9" t="n">
        <v>29388</v>
      </c>
    </row>
    <row r="10" customFormat="false" ht="15" hidden="false" customHeight="true" outlineLevel="0" collapsed="false">
      <c r="A10" s="10" t="s">
        <v>128</v>
      </c>
      <c r="B10" s="11"/>
      <c r="C10" s="12" t="n">
        <f aca="false">SUM(C7,C8,C9)</f>
        <v>495586</v>
      </c>
      <c r="D10" s="12" t="n">
        <f aca="false">SUM(D7,D8,D9)</f>
        <v>425396</v>
      </c>
      <c r="E10" s="12" t="n">
        <f aca="false">SUM(E7,E8,E9)</f>
        <v>453543</v>
      </c>
      <c r="F10" s="12" t="n">
        <f aca="false">SUM(F7,F8,F9)</f>
        <v>453543</v>
      </c>
      <c r="G10" s="12" t="n">
        <f aca="false">SUM(G7,G8,G9)</f>
        <v>611553</v>
      </c>
      <c r="H10" s="12" t="n">
        <f aca="false">SUM(H7,H8,H9)</f>
        <v>611553</v>
      </c>
    </row>
    <row r="12" customFormat="false" ht="15" hidden="false" customHeight="true" outlineLevel="0" collapsed="false">
      <c r="A12" s="5" t="s">
        <v>129</v>
      </c>
      <c r="B12" s="5"/>
      <c r="C12" s="5"/>
      <c r="D12" s="5"/>
      <c r="E12" s="5"/>
      <c r="F12" s="5"/>
      <c r="G12" s="5"/>
      <c r="H12" s="5"/>
    </row>
    <row r="13" customFormat="false" ht="15" hidden="false" customHeight="true" outlineLevel="0" collapsed="false">
      <c r="A13" s="7" t="s">
        <v>130</v>
      </c>
      <c r="B13" s="8" t="s">
        <v>81</v>
      </c>
      <c r="C13" s="9" t="n">
        <v>88063</v>
      </c>
      <c r="D13" s="9" t="n">
        <v>96954</v>
      </c>
      <c r="E13" s="9" t="n">
        <v>97720</v>
      </c>
      <c r="F13" s="9" t="n">
        <v>97720</v>
      </c>
      <c r="G13" s="9" t="n">
        <v>131044</v>
      </c>
      <c r="H13" s="9" t="n">
        <v>131044</v>
      </c>
    </row>
    <row r="14" customFormat="false" ht="15" hidden="false" customHeight="true" outlineLevel="0" collapsed="false">
      <c r="A14" s="7" t="s">
        <v>131</v>
      </c>
      <c r="B14" s="8" t="s">
        <v>81</v>
      </c>
      <c r="C14" s="9" t="n">
        <v>149803</v>
      </c>
      <c r="D14" s="9" t="n">
        <v>226039</v>
      </c>
      <c r="E14" s="9" t="n">
        <v>320022</v>
      </c>
      <c r="F14" s="9" t="n">
        <v>320022</v>
      </c>
      <c r="G14" s="9" t="n">
        <v>401401</v>
      </c>
      <c r="H14" s="9" t="n">
        <v>401401</v>
      </c>
    </row>
    <row r="15" customFormat="false" ht="15" hidden="false" customHeight="true" outlineLevel="0" collapsed="false">
      <c r="A15" s="10" t="s">
        <v>132</v>
      </c>
      <c r="B15" s="11"/>
      <c r="C15" s="12" t="n">
        <f aca="false">SUM(C13,C14)</f>
        <v>237866</v>
      </c>
      <c r="D15" s="12" t="n">
        <f aca="false">SUM(D13,D14)</f>
        <v>322993</v>
      </c>
      <c r="E15" s="12" t="n">
        <f aca="false">SUM(E13,E14)</f>
        <v>417742</v>
      </c>
      <c r="F15" s="12" t="n">
        <f aca="false">SUM(F13,F14)</f>
        <v>417742</v>
      </c>
      <c r="G15" s="12" t="n">
        <f aca="false">SUM(G13,G14)</f>
        <v>532445</v>
      </c>
      <c r="H15" s="12" t="n">
        <f aca="false">SUM(H13,H14)</f>
        <v>532445</v>
      </c>
    </row>
    <row r="17" customFormat="false" ht="15" hidden="false" customHeight="true" outlineLevel="0" collapsed="false">
      <c r="A17" s="5" t="s">
        <v>133</v>
      </c>
      <c r="B17" s="5"/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7" t="s">
        <v>134</v>
      </c>
      <c r="B18" s="8" t="s">
        <v>81</v>
      </c>
      <c r="C18" s="9" t="n">
        <v>101231</v>
      </c>
      <c r="D18" s="9" t="n">
        <v>123267</v>
      </c>
      <c r="E18" s="9" t="n">
        <v>118062</v>
      </c>
      <c r="F18" s="9" t="n">
        <v>118062</v>
      </c>
      <c r="G18" s="9" t="n">
        <v>142490</v>
      </c>
      <c r="H18" s="9" t="n">
        <v>142490</v>
      </c>
    </row>
    <row r="19" customFormat="false" ht="15" hidden="false" customHeight="true" outlineLevel="0" collapsed="false">
      <c r="A19" s="7" t="s">
        <v>135</v>
      </c>
      <c r="B19" s="8" t="s">
        <v>81</v>
      </c>
      <c r="C19" s="9" t="n">
        <v>25561</v>
      </c>
      <c r="D19" s="9" t="n">
        <v>46143</v>
      </c>
      <c r="E19" s="9" t="n">
        <v>47711</v>
      </c>
      <c r="F19" s="9" t="n">
        <v>47711</v>
      </c>
      <c r="G19" s="9" t="n">
        <v>11398</v>
      </c>
      <c r="H19" s="9" t="n">
        <v>11398</v>
      </c>
    </row>
    <row r="20" customFormat="false" ht="15" hidden="false" customHeight="true" outlineLevel="0" collapsed="false">
      <c r="A20" s="7" t="s">
        <v>136</v>
      </c>
      <c r="B20" s="8" t="s">
        <v>81</v>
      </c>
      <c r="C20" s="9"/>
      <c r="D20" s="9"/>
      <c r="E20" s="9"/>
      <c r="F20" s="9" t="n">
        <v>16711</v>
      </c>
      <c r="G20" s="9"/>
      <c r="H20" s="9" t="n">
        <v>80400</v>
      </c>
    </row>
    <row r="21" customFormat="false" ht="15" hidden="false" customHeight="true" outlineLevel="0" collapsed="false">
      <c r="A21" s="7" t="s">
        <v>137</v>
      </c>
      <c r="B21" s="8" t="s">
        <v>81</v>
      </c>
      <c r="C21" s="9"/>
      <c r="D21" s="9"/>
      <c r="E21" s="9"/>
      <c r="F21" s="9"/>
      <c r="G21" s="9"/>
      <c r="H21" s="9" t="n">
        <v>26500</v>
      </c>
    </row>
    <row r="22" customFormat="false" ht="15" hidden="false" customHeight="true" outlineLevel="0" collapsed="false">
      <c r="A22" s="7" t="s">
        <v>138</v>
      </c>
      <c r="B22" s="8" t="s">
        <v>81</v>
      </c>
      <c r="C22" s="9" t="n">
        <v>72483</v>
      </c>
      <c r="D22" s="9" t="n">
        <v>90861</v>
      </c>
      <c r="E22" s="9" t="n">
        <v>77766</v>
      </c>
      <c r="F22" s="9" t="n">
        <v>77766</v>
      </c>
      <c r="G22" s="9" t="n">
        <v>87699</v>
      </c>
      <c r="H22" s="9" t="n">
        <v>87699</v>
      </c>
    </row>
    <row r="23" customFormat="false" ht="15" hidden="false" customHeight="true" outlineLevel="0" collapsed="false">
      <c r="A23" s="10" t="s">
        <v>139</v>
      </c>
      <c r="B23" s="11"/>
      <c r="C23" s="12" t="n">
        <f aca="false">SUM(C18,C19,C20,C21,C22)</f>
        <v>199275</v>
      </c>
      <c r="D23" s="12" t="n">
        <f aca="false">SUM(D18,D19,D20,D21,D22)</f>
        <v>260271</v>
      </c>
      <c r="E23" s="12" t="n">
        <f aca="false">SUM(E18,E19,E20,E21,E22)</f>
        <v>243539</v>
      </c>
      <c r="F23" s="12" t="n">
        <f aca="false">SUM(F18,F19,F20,F21,F22)</f>
        <v>260250</v>
      </c>
      <c r="G23" s="12" t="n">
        <f aca="false">SUM(G18,G19,G20,G21,G22)</f>
        <v>241587</v>
      </c>
      <c r="H23" s="12" t="n">
        <f aca="false">SUM(H18,H19,H20,H21,H22)</f>
        <v>348487</v>
      </c>
    </row>
    <row r="25" customFormat="false" ht="15" hidden="false" customHeight="true" outlineLevel="0" collapsed="false">
      <c r="A25" s="5" t="s">
        <v>140</v>
      </c>
      <c r="B25" s="5"/>
      <c r="C25" s="5"/>
      <c r="D25" s="5"/>
      <c r="E25" s="5"/>
      <c r="F25" s="5"/>
      <c r="G25" s="5"/>
      <c r="H25" s="5"/>
    </row>
    <row r="26" customFormat="false" ht="15" hidden="false" customHeight="true" outlineLevel="0" collapsed="false">
      <c r="A26" s="7" t="s">
        <v>141</v>
      </c>
      <c r="B26" s="8" t="s">
        <v>81</v>
      </c>
      <c r="C26" s="9" t="n">
        <v>110656</v>
      </c>
      <c r="D26" s="9" t="n">
        <v>61670</v>
      </c>
      <c r="E26" s="9" t="n">
        <v>95505</v>
      </c>
      <c r="F26" s="9" t="n">
        <v>95505</v>
      </c>
      <c r="G26" s="9" t="n">
        <v>68714</v>
      </c>
      <c r="H26" s="9" t="n">
        <v>78214</v>
      </c>
    </row>
    <row r="27" customFormat="false" ht="15" hidden="false" customHeight="true" outlineLevel="0" collapsed="false">
      <c r="A27" s="10" t="s">
        <v>142</v>
      </c>
      <c r="B27" s="11"/>
      <c r="C27" s="12" t="n">
        <f aca="false">SUM(C26)</f>
        <v>110656</v>
      </c>
      <c r="D27" s="12" t="n">
        <f aca="false">SUM(D26)</f>
        <v>61670</v>
      </c>
      <c r="E27" s="12" t="n">
        <f aca="false">SUM(E26)</f>
        <v>95505</v>
      </c>
      <c r="F27" s="12" t="n">
        <f aca="false">SUM(F26)</f>
        <v>95505</v>
      </c>
      <c r="G27" s="12" t="n">
        <f aca="false">SUM(G26)</f>
        <v>68714</v>
      </c>
      <c r="H27" s="12" t="n">
        <f aca="false">SUM(H26)</f>
        <v>78214</v>
      </c>
    </row>
    <row r="29" customFormat="false" ht="15" hidden="false" customHeight="true" outlineLevel="0" collapsed="false">
      <c r="A29" s="15" t="s">
        <v>143</v>
      </c>
      <c r="B29" s="16"/>
      <c r="C29" s="17" t="n">
        <f aca="false">C10+C15+C23+C27</f>
        <v>1043383</v>
      </c>
      <c r="D29" s="17" t="n">
        <f aca="false">D10+D15+D23+D27</f>
        <v>1070330</v>
      </c>
      <c r="E29" s="17" t="n">
        <f aca="false">E10+E15+E23+E27</f>
        <v>1210329</v>
      </c>
      <c r="F29" s="17" t="n">
        <f aca="false">F10+F15+F23+F27</f>
        <v>1227040</v>
      </c>
      <c r="G29" s="17" t="n">
        <f aca="false">G10+G15+G23+G27</f>
        <v>1454299</v>
      </c>
      <c r="H29" s="17" t="n">
        <f aca="false">H10+H15+H23+H27</f>
        <v>1570699</v>
      </c>
    </row>
    <row r="31" customFormat="false" ht="15" hidden="false" customHeight="true" outlineLevel="0" collapsed="false">
      <c r="A31" s="5" t="s">
        <v>144</v>
      </c>
      <c r="B31" s="5"/>
      <c r="C31" s="5"/>
      <c r="D31" s="5"/>
      <c r="E31" s="5"/>
      <c r="F31" s="5"/>
      <c r="G31" s="5"/>
      <c r="H31" s="5"/>
    </row>
    <row r="32" customFormat="false" ht="15" hidden="false" customHeight="true" outlineLevel="0" collapsed="false">
      <c r="A32" s="7" t="s">
        <v>145</v>
      </c>
      <c r="B32" s="8" t="s">
        <v>81</v>
      </c>
      <c r="C32" s="9" t="n">
        <v>119111</v>
      </c>
      <c r="D32" s="9" t="n">
        <v>294379</v>
      </c>
      <c r="E32" s="9"/>
      <c r="F32" s="9"/>
      <c r="G32" s="9"/>
      <c r="H32" s="9"/>
    </row>
    <row r="33" customFormat="false" ht="15" hidden="false" customHeight="true" outlineLevel="0" collapsed="false">
      <c r="A33" s="7" t="s">
        <v>146</v>
      </c>
      <c r="B33" s="8" t="s">
        <v>81</v>
      </c>
      <c r="C33" s="9" t="n">
        <v>14240</v>
      </c>
      <c r="D33" s="9" t="n">
        <v>9114</v>
      </c>
      <c r="E33" s="9"/>
      <c r="F33" s="9"/>
      <c r="G33" s="9"/>
      <c r="H33" s="9"/>
    </row>
    <row r="34" customFormat="false" ht="15" hidden="false" customHeight="true" outlineLevel="0" collapsed="false">
      <c r="A34" s="10" t="s">
        <v>147</v>
      </c>
      <c r="B34" s="11"/>
      <c r="C34" s="12" t="n">
        <f aca="false">SUM(C32,C33)</f>
        <v>133351</v>
      </c>
      <c r="D34" s="12" t="n">
        <f aca="false">SUM(D32,D33)</f>
        <v>303493</v>
      </c>
      <c r="E34" s="12" t="n">
        <f aca="false">SUM(E32,E33)</f>
        <v>0</v>
      </c>
      <c r="F34" s="12" t="n">
        <f aca="false">SUM(F32,F33)</f>
        <v>0</v>
      </c>
      <c r="G34" s="12" t="n">
        <f aca="false">SUM(G32,G33)</f>
        <v>0</v>
      </c>
      <c r="H34" s="12" t="n">
        <f aca="false">SUM(H32,H33)</f>
        <v>0</v>
      </c>
    </row>
    <row r="35" customFormat="false" ht="15" hidden="false" customHeight="true" outlineLevel="0" collapsed="false">
      <c r="A35" s="22" t="s">
        <v>148</v>
      </c>
      <c r="B35" s="22"/>
      <c r="C35" s="22"/>
      <c r="D35" s="22"/>
      <c r="E35" s="22"/>
      <c r="F35" s="22"/>
      <c r="G35" s="22"/>
      <c r="H35" s="22"/>
    </row>
    <row r="37" customFormat="false" ht="15" hidden="false" customHeight="true" outlineLevel="0" collapsed="false">
      <c r="A37" s="15" t="s">
        <v>149</v>
      </c>
      <c r="B37" s="16"/>
      <c r="C37" s="17" t="n">
        <f aca="false">C29+C34</f>
        <v>1176734</v>
      </c>
      <c r="D37" s="17" t="n">
        <f aca="false">D29+D34</f>
        <v>1373823</v>
      </c>
      <c r="E37" s="17" t="n">
        <f aca="false">E29+E34</f>
        <v>1210329</v>
      </c>
      <c r="F37" s="17" t="n">
        <f aca="false">F29+F34</f>
        <v>1227040</v>
      </c>
      <c r="G37" s="17" t="n">
        <f aca="false">G29+G34</f>
        <v>1454299</v>
      </c>
      <c r="H37" s="17" t="n">
        <f aca="false">H29+H34</f>
        <v>1570699</v>
      </c>
    </row>
    <row r="39" customFormat="false" ht="15" hidden="false" customHeight="true" outlineLevel="0" collapsed="false">
      <c r="A39" s="5" t="s">
        <v>150</v>
      </c>
      <c r="B39" s="5"/>
      <c r="C39" s="5"/>
      <c r="D39" s="5"/>
      <c r="E39" s="5"/>
      <c r="F39" s="5"/>
      <c r="G39" s="5"/>
      <c r="H39" s="5"/>
    </row>
    <row r="40" customFormat="false" ht="15" hidden="false" customHeight="true" outlineLevel="0" collapsed="false">
      <c r="A40" s="7" t="s">
        <v>151</v>
      </c>
      <c r="B40" s="8" t="s">
        <v>152</v>
      </c>
      <c r="C40" s="31" t="n">
        <f aca="false">DRE!C6-C29</f>
        <v>-64305</v>
      </c>
      <c r="D40" s="31" t="n">
        <f aca="false">DRE!D6-D29</f>
        <v>-57950</v>
      </c>
      <c r="E40" s="31" t="n">
        <f aca="false">DRE!E6-E29</f>
        <v>-68178</v>
      </c>
      <c r="F40" s="31" t="n">
        <f aca="false">DRE!F6-F29</f>
        <v>-68178</v>
      </c>
      <c r="G40" s="31" t="n">
        <f aca="false">DRE!G6-G29</f>
        <v>-60544</v>
      </c>
      <c r="H40" s="31" t="n">
        <f aca="false">DRE!H6-H29</f>
        <v>-70958</v>
      </c>
    </row>
    <row r="42" customFormat="false" ht="15" hidden="false" customHeight="true" outlineLevel="0" collapsed="false">
      <c r="A42" s="15" t="s">
        <v>153</v>
      </c>
      <c r="B42" s="16"/>
      <c r="C42" s="17" t="n">
        <f aca="false">DRE!C6</f>
        <v>979078</v>
      </c>
      <c r="D42" s="17" t="n">
        <f aca="false">DRE!D6</f>
        <v>1012380</v>
      </c>
      <c r="E42" s="17" t="n">
        <f aca="false">DRE!E6</f>
        <v>1142151</v>
      </c>
      <c r="F42" s="17" t="n">
        <f aca="false">DRE!F6</f>
        <v>1158862</v>
      </c>
      <c r="G42" s="17" t="n">
        <f aca="false">DRE!G6</f>
        <v>1393755</v>
      </c>
      <c r="H42" s="17" t="n">
        <f aca="false">DRE!H6</f>
        <v>1499741</v>
      </c>
    </row>
    <row r="45" customFormat="false" ht="15" hidden="false" customHeight="true" outlineLevel="0" collapsed="false">
      <c r="A45" s="5" t="s">
        <v>154</v>
      </c>
      <c r="B45" s="5"/>
      <c r="C45" s="5"/>
      <c r="D45" s="5"/>
      <c r="E45" s="5"/>
      <c r="F45" s="5"/>
      <c r="G45" s="5"/>
      <c r="H45" s="5"/>
    </row>
    <row r="46" customFormat="false" ht="15" hidden="false" customHeight="true" outlineLevel="0" collapsed="false">
      <c r="A46" s="22" t="s">
        <v>155</v>
      </c>
      <c r="B46" s="22"/>
      <c r="C46" s="22"/>
      <c r="D46" s="22"/>
      <c r="E46" s="22"/>
      <c r="F46" s="22"/>
      <c r="G46" s="22"/>
      <c r="H46" s="22"/>
    </row>
    <row r="47" customFormat="false" ht="15" hidden="false" customHeight="true" outlineLevel="0" collapsed="false">
      <c r="A47" s="7" t="s">
        <v>156</v>
      </c>
      <c r="C47" s="35" t="n">
        <v>16400</v>
      </c>
      <c r="D47" s="35" t="n">
        <v>16400</v>
      </c>
      <c r="E47" s="35" t="n">
        <v>16400</v>
      </c>
      <c r="F47" s="35" t="n">
        <v>16400</v>
      </c>
      <c r="G47" s="35" t="n">
        <v>16400</v>
      </c>
      <c r="H47" s="35" t="n">
        <v>16400</v>
      </c>
    </row>
    <row r="48" customFormat="false" ht="15" hidden="false" customHeight="true" outlineLevel="0" collapsed="false">
      <c r="A48" s="7" t="s">
        <v>157</v>
      </c>
      <c r="C48" s="35" t="n">
        <v>20000</v>
      </c>
      <c r="D48" s="35" t="n">
        <v>15000</v>
      </c>
      <c r="E48" s="35" t="n">
        <v>8000</v>
      </c>
      <c r="F48" s="35" t="n">
        <v>8000</v>
      </c>
      <c r="G48" s="35" t="n">
        <v>22300</v>
      </c>
      <c r="H48" s="35" t="n">
        <v>22300</v>
      </c>
    </row>
    <row r="49" customFormat="false" ht="15" hidden="false" customHeight="true" outlineLevel="0" collapsed="false">
      <c r="A49" s="7" t="s">
        <v>158</v>
      </c>
      <c r="C49" s="35" t="n">
        <v>120000</v>
      </c>
      <c r="D49" s="35" t="n">
        <v>14000</v>
      </c>
      <c r="E49" s="35" t="n">
        <v>14000</v>
      </c>
      <c r="F49" s="35" t="n">
        <v>14000</v>
      </c>
      <c r="G49" s="35" t="n">
        <v>163600</v>
      </c>
      <c r="H49" s="35" t="n">
        <v>163600</v>
      </c>
    </row>
    <row r="50" customFormat="false" ht="15" hidden="false" customHeight="true" outlineLevel="0" collapsed="false">
      <c r="A50" s="7" t="s">
        <v>159</v>
      </c>
      <c r="C50" s="35" t="n">
        <v>10000</v>
      </c>
      <c r="D50" s="35"/>
      <c r="E50" s="35"/>
      <c r="F50" s="35"/>
      <c r="G50" s="35" t="n">
        <v>152600</v>
      </c>
      <c r="H50" s="35" t="n">
        <v>152600</v>
      </c>
    </row>
    <row r="51" customFormat="false" ht="15" hidden="false" customHeight="true" outlineLevel="0" collapsed="false">
      <c r="A51" s="7" t="s">
        <v>160</v>
      </c>
      <c r="C51" s="35"/>
      <c r="D51" s="35"/>
      <c r="E51" s="35"/>
      <c r="F51" s="35"/>
      <c r="G51" s="35" t="n">
        <v>21600</v>
      </c>
      <c r="H51" s="35" t="n">
        <v>21600</v>
      </c>
    </row>
    <row r="52" customFormat="false" ht="15" hidden="false" customHeight="true" outlineLevel="0" collapsed="false">
      <c r="A52" s="7" t="s">
        <v>161</v>
      </c>
      <c r="C52" s="35" t="n">
        <v>98339</v>
      </c>
      <c r="D52" s="35" t="n">
        <v>51592</v>
      </c>
      <c r="E52" s="35" t="n">
        <v>93974</v>
      </c>
      <c r="F52" s="35" t="n">
        <v>93974</v>
      </c>
      <c r="G52" s="35" t="n">
        <v>2297</v>
      </c>
      <c r="H52" s="35" t="n">
        <v>2297</v>
      </c>
    </row>
    <row r="53" customFormat="false" ht="15" hidden="false" customHeight="true" outlineLevel="0" collapsed="false">
      <c r="A53" s="10" t="s">
        <v>162</v>
      </c>
      <c r="B53" s="11"/>
      <c r="C53" s="12" t="n">
        <f aca="false">SUM(C47,C48,C49,C50,C51,C52)</f>
        <v>264739</v>
      </c>
      <c r="D53" s="12" t="n">
        <f aca="false">SUM(D47,D48,D49,D50,D51,D52)</f>
        <v>96992</v>
      </c>
      <c r="E53" s="12" t="n">
        <f aca="false">SUM(E47,E48,E49,E50,E51,E52)</f>
        <v>132374</v>
      </c>
      <c r="F53" s="12" t="n">
        <f aca="false">SUM(F47,F48,F49,F50,F51,F52)</f>
        <v>132374</v>
      </c>
      <c r="G53" s="12" t="n">
        <f aca="false">SUM(G47,G48,G49,G50,G51,G52)</f>
        <v>378797</v>
      </c>
      <c r="H53" s="12" t="n">
        <f aca="false">SUM(H47,H48,H49,H50,H51,H52)</f>
        <v>378797</v>
      </c>
    </row>
    <row r="54" customFormat="false" ht="15" hidden="false" customHeight="true" outlineLevel="0" collapsed="false">
      <c r="A54" s="36" t="s">
        <v>163</v>
      </c>
      <c r="B54" s="19"/>
      <c r="C54" s="20" t="n">
        <f aca="false">C53-C8</f>
        <v>0</v>
      </c>
      <c r="D54" s="20" t="n">
        <f aca="false">D53-D8</f>
        <v>0</v>
      </c>
      <c r="E54" s="20" t="n">
        <f aca="false">E53-E8</f>
        <v>0</v>
      </c>
      <c r="F54" s="20" t="n">
        <f aca="false">F53-F8</f>
        <v>0</v>
      </c>
      <c r="G54" s="20" t="n">
        <f aca="false">G53-G8</f>
        <v>0</v>
      </c>
      <c r="H54" s="20" t="n">
        <f aca="false">H53-H8</f>
        <v>0</v>
      </c>
    </row>
    <row r="56" customFormat="false" ht="15" hidden="false" customHeight="true" outlineLevel="0" collapsed="false">
      <c r="A56" s="37" t="s">
        <v>164</v>
      </c>
      <c r="B56" s="38"/>
      <c r="C56" s="39" t="n">
        <f aca="false">C50+C51</f>
        <v>10000</v>
      </c>
      <c r="D56" s="39" t="n">
        <f aca="false">D50+D51</f>
        <v>0</v>
      </c>
      <c r="E56" s="39" t="n">
        <f aca="false">E50+E51</f>
        <v>0</v>
      </c>
      <c r="F56" s="39" t="n">
        <f aca="false">F50+F51</f>
        <v>0</v>
      </c>
      <c r="G56" s="39" t="n">
        <f aca="false">G50+G51</f>
        <v>174200</v>
      </c>
      <c r="H56" s="39" t="n">
        <f aca="false">H50+H51</f>
        <v>174200</v>
      </c>
    </row>
    <row r="58" customFormat="false" ht="15" hidden="false" customHeight="true" outlineLevel="0" collapsed="false">
      <c r="A58" s="21" t="s">
        <v>65</v>
      </c>
    </row>
    <row r="59" customFormat="false" ht="15" hidden="false" customHeight="true" outlineLevel="0" collapsed="false">
      <c r="A59" s="22" t="s">
        <v>165</v>
      </c>
      <c r="B59" s="22"/>
      <c r="C59" s="22"/>
      <c r="D59" s="22"/>
      <c r="E59" s="22"/>
      <c r="F59" s="22"/>
      <c r="G59" s="22"/>
      <c r="H59" s="22"/>
    </row>
    <row r="60" customFormat="false" ht="15" hidden="false" customHeight="true" outlineLevel="0" collapsed="false">
      <c r="A60" s="22" t="s">
        <v>166</v>
      </c>
      <c r="B60" s="22"/>
      <c r="C60" s="22"/>
      <c r="D60" s="22"/>
      <c r="E60" s="22"/>
      <c r="F60" s="22"/>
      <c r="G60" s="22"/>
      <c r="H60" s="22"/>
    </row>
    <row r="61" customFormat="false" ht="15" hidden="false" customHeight="true" outlineLevel="0" collapsed="false">
      <c r="A61" s="22" t="s">
        <v>167</v>
      </c>
      <c r="B61" s="22"/>
      <c r="C61" s="22"/>
      <c r="D61" s="22"/>
      <c r="E61" s="22"/>
      <c r="F61" s="22"/>
      <c r="G61" s="22"/>
      <c r="H61" s="22"/>
    </row>
    <row r="62" customFormat="false" ht="15" hidden="false" customHeight="true" outlineLevel="0" collapsed="false">
      <c r="A62" s="22" t="s">
        <v>168</v>
      </c>
      <c r="B62" s="22"/>
      <c r="C62" s="22"/>
      <c r="D62" s="22"/>
      <c r="E62" s="22"/>
      <c r="F62" s="22"/>
      <c r="G62" s="22"/>
      <c r="H62" s="22"/>
    </row>
    <row r="63" customFormat="false" ht="15" hidden="false" customHeight="true" outlineLevel="0" collapsed="false">
      <c r="A63" s="22" t="s">
        <v>169</v>
      </c>
      <c r="B63" s="22"/>
      <c r="C63" s="22"/>
      <c r="D63" s="22"/>
      <c r="E63" s="22"/>
      <c r="F63" s="22"/>
      <c r="G63" s="22"/>
      <c r="H63" s="22"/>
    </row>
    <row r="64" customFormat="false" ht="15" hidden="false" customHeight="true" outlineLevel="0" collapsed="false">
      <c r="A64" s="22" t="s">
        <v>170</v>
      </c>
      <c r="B64" s="22"/>
      <c r="C64" s="22"/>
      <c r="D64" s="22"/>
      <c r="E64" s="22"/>
      <c r="F64" s="22"/>
      <c r="G64" s="22"/>
      <c r="H64" s="22"/>
    </row>
    <row r="65" customFormat="false" ht="15" hidden="false" customHeight="true" outlineLevel="0" collapsed="false">
      <c r="A65" s="22" t="s">
        <v>171</v>
      </c>
      <c r="B65" s="22"/>
      <c r="C65" s="22"/>
      <c r="D65" s="22"/>
      <c r="E65" s="22"/>
      <c r="F65" s="22"/>
      <c r="G65" s="22"/>
      <c r="H65" s="22"/>
    </row>
    <row r="66" customFormat="false" ht="15" hidden="false" customHeight="true" outlineLevel="0" collapsed="false">
      <c r="A66" s="22" t="s">
        <v>172</v>
      </c>
      <c r="B66" s="22"/>
      <c r="C66" s="22"/>
      <c r="D66" s="22"/>
      <c r="E66" s="22"/>
      <c r="F66" s="22"/>
      <c r="G66" s="22"/>
      <c r="H66" s="22"/>
    </row>
    <row r="67" customFormat="false" ht="15" hidden="false" customHeight="true" outlineLevel="0" collapsed="false">
      <c r="A67" s="22" t="s">
        <v>173</v>
      </c>
      <c r="B67" s="22"/>
      <c r="C67" s="22"/>
      <c r="D67" s="22"/>
      <c r="E67" s="22"/>
      <c r="F67" s="22"/>
      <c r="G67" s="22"/>
      <c r="H67" s="22"/>
    </row>
    <row r="68" customFormat="false" ht="15" hidden="false" customHeight="true" outlineLevel="0" collapsed="false">
      <c r="A68" s="22" t="s">
        <v>174</v>
      </c>
      <c r="B68" s="22"/>
      <c r="C68" s="22"/>
      <c r="D68" s="22"/>
      <c r="E68" s="22"/>
      <c r="F68" s="22"/>
      <c r="G68" s="22"/>
      <c r="H68" s="22"/>
    </row>
    <row r="69" customFormat="false" ht="15" hidden="false" customHeight="true" outlineLevel="0" collapsed="false">
      <c r="A69" s="22" t="s">
        <v>175</v>
      </c>
      <c r="B69" s="22"/>
      <c r="C69" s="22"/>
      <c r="D69" s="22"/>
      <c r="E69" s="22"/>
      <c r="F69" s="22"/>
      <c r="G69" s="22"/>
      <c r="H69" s="22"/>
    </row>
  </sheetData>
  <mergeCells count="22">
    <mergeCell ref="A1:H1"/>
    <mergeCell ref="A2:H2"/>
    <mergeCell ref="A6:H6"/>
    <mergeCell ref="A12:H12"/>
    <mergeCell ref="A17:H17"/>
    <mergeCell ref="A25:H25"/>
    <mergeCell ref="A31:H31"/>
    <mergeCell ref="A35:H35"/>
    <mergeCell ref="A39:H39"/>
    <mergeCell ref="A45:H45"/>
    <mergeCell ref="A46:H46"/>
    <mergeCell ref="A59:H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8"/>
    <col collapsed="false" customWidth="true" hidden="false" outlineLevel="0" max="8" min="3" style="1" width="14"/>
  </cols>
  <sheetData>
    <row r="1" customFormat="false" ht="17.25" hidden="false" customHeight="true" outlineLevel="0" collapsed="false">
      <c r="A1" s="2" t="s">
        <v>176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177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</row>
    <row r="6" customFormat="false" ht="15" hidden="false" customHeight="true" outlineLevel="0" collapsed="false">
      <c r="A6" s="5" t="s">
        <v>178</v>
      </c>
      <c r="B6" s="5"/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7" t="s">
        <v>179</v>
      </c>
      <c r="C7" s="40" t="n">
        <f aca="false">DRE!C28</f>
        <v>135690</v>
      </c>
      <c r="D7" s="40" t="n">
        <f aca="false">DRE!D28</f>
        <v>319545</v>
      </c>
      <c r="E7" s="40" t="n">
        <f aca="false">DRE!E28</f>
        <v>-734</v>
      </c>
      <c r="F7" s="40" t="n">
        <f aca="false">DRE!F28</f>
        <v>-2601</v>
      </c>
      <c r="G7" s="40" t="n">
        <f aca="false">DRE!G28</f>
        <v>335665</v>
      </c>
      <c r="H7" s="40" t="n">
        <f aca="false">DRE!H28</f>
        <v>343171</v>
      </c>
    </row>
    <row r="9" customFormat="false" ht="15" hidden="false" customHeight="true" outlineLevel="0" collapsed="false">
      <c r="A9" s="10" t="s">
        <v>180</v>
      </c>
      <c r="B9" s="11"/>
      <c r="C9" s="11"/>
      <c r="D9" s="11"/>
      <c r="E9" s="11"/>
      <c r="F9" s="11"/>
      <c r="G9" s="11"/>
      <c r="H9" s="11"/>
    </row>
    <row r="10" customFormat="false" ht="15" hidden="false" customHeight="true" outlineLevel="0" collapsed="false">
      <c r="A10" s="41" t="s">
        <v>181</v>
      </c>
      <c r="B10" s="8" t="s">
        <v>35</v>
      </c>
      <c r="C10" s="9" t="n">
        <v>121656</v>
      </c>
      <c r="D10" s="9" t="n">
        <v>175729</v>
      </c>
      <c r="E10" s="9" t="n">
        <v>213621</v>
      </c>
      <c r="F10" s="9" t="n">
        <v>213621</v>
      </c>
      <c r="G10" s="9" t="n">
        <v>243716</v>
      </c>
      <c r="H10" s="9" t="n">
        <v>243716</v>
      </c>
    </row>
    <row r="11" customFormat="false" ht="15" hidden="false" customHeight="true" outlineLevel="0" collapsed="false">
      <c r="A11" s="41" t="s">
        <v>182</v>
      </c>
      <c r="C11" s="9"/>
      <c r="D11" s="9"/>
      <c r="E11" s="9" t="n">
        <v>10651</v>
      </c>
      <c r="F11" s="9" t="n">
        <v>11394</v>
      </c>
      <c r="G11" s="9" t="n">
        <v>12070</v>
      </c>
      <c r="H11" s="9" t="n">
        <v>12625</v>
      </c>
    </row>
    <row r="12" customFormat="false" ht="15" hidden="false" customHeight="true" outlineLevel="0" collapsed="false">
      <c r="A12" s="41" t="s">
        <v>183</v>
      </c>
      <c r="C12" s="9"/>
      <c r="D12" s="9"/>
      <c r="E12" s="9"/>
      <c r="F12" s="9"/>
      <c r="G12" s="9" t="n">
        <v>197912</v>
      </c>
      <c r="H12" s="9" t="n">
        <v>197912</v>
      </c>
    </row>
    <row r="13" customFormat="false" ht="15" hidden="false" customHeight="true" outlineLevel="0" collapsed="false">
      <c r="A13" s="41" t="s">
        <v>184</v>
      </c>
      <c r="C13" s="9"/>
      <c r="D13" s="9"/>
      <c r="E13" s="9"/>
      <c r="F13" s="9"/>
      <c r="G13" s="9"/>
      <c r="H13" s="9" t="n">
        <v>9434</v>
      </c>
    </row>
    <row r="14" customFormat="false" ht="15" hidden="false" customHeight="true" outlineLevel="0" collapsed="false">
      <c r="A14" s="41" t="s">
        <v>185</v>
      </c>
      <c r="B14" s="8" t="s">
        <v>30</v>
      </c>
      <c r="C14" s="9"/>
      <c r="D14" s="9"/>
      <c r="E14" s="9" t="n">
        <v>3465</v>
      </c>
      <c r="F14" s="9"/>
      <c r="G14" s="9" t="n">
        <v>-13939</v>
      </c>
      <c r="H14" s="9"/>
    </row>
    <row r="15" customFormat="false" ht="15" hidden="false" customHeight="true" outlineLevel="0" collapsed="false">
      <c r="A15" s="41" t="s">
        <v>186</v>
      </c>
      <c r="C15" s="9"/>
      <c r="D15" s="9"/>
      <c r="E15" s="9"/>
      <c r="F15" s="9"/>
      <c r="G15" s="9" t="n">
        <v>-3086</v>
      </c>
      <c r="H15" s="9" t="n">
        <v>-3086</v>
      </c>
    </row>
    <row r="16" customFormat="false" ht="15" hidden="false" customHeight="true" outlineLevel="0" collapsed="false">
      <c r="A16" s="41" t="s">
        <v>187</v>
      </c>
      <c r="C16" s="9"/>
      <c r="D16" s="9"/>
      <c r="E16" s="9" t="n">
        <v>31515</v>
      </c>
      <c r="F16" s="9" t="n">
        <v>31544</v>
      </c>
      <c r="G16" s="9" t="n">
        <v>21088</v>
      </c>
      <c r="H16" s="9" t="n">
        <v>33543</v>
      </c>
    </row>
    <row r="17" customFormat="false" ht="15" hidden="false" customHeight="true" outlineLevel="0" collapsed="false">
      <c r="A17" s="42" t="s">
        <v>188</v>
      </c>
      <c r="C17" s="43" t="n">
        <f aca="false">SUM(C10:C16)</f>
        <v>121656</v>
      </c>
      <c r="D17" s="43" t="n">
        <f aca="false">SUM(D10:D16)</f>
        <v>175729</v>
      </c>
      <c r="E17" s="43" t="n">
        <f aca="false">SUM(E10:E16)</f>
        <v>259252</v>
      </c>
      <c r="F17" s="43" t="n">
        <f aca="false">SUM(F10:F16)</f>
        <v>256559</v>
      </c>
      <c r="G17" s="43" t="n">
        <f aca="false">SUM(G10:G16)</f>
        <v>457761</v>
      </c>
      <c r="H17" s="43" t="n">
        <f aca="false">SUM(H10:H16)</f>
        <v>494144</v>
      </c>
    </row>
    <row r="19" customFormat="false" ht="15" hidden="false" customHeight="true" outlineLevel="0" collapsed="false">
      <c r="A19" s="10" t="s">
        <v>189</v>
      </c>
      <c r="B19" s="11"/>
      <c r="C19" s="11"/>
      <c r="D19" s="11"/>
      <c r="E19" s="11"/>
      <c r="F19" s="11"/>
      <c r="G19" s="11"/>
      <c r="H19" s="11"/>
    </row>
    <row r="20" customFormat="false" ht="15" hidden="false" customHeight="true" outlineLevel="0" collapsed="false">
      <c r="A20" s="41" t="s">
        <v>190</v>
      </c>
      <c r="B20" s="8" t="s">
        <v>16</v>
      </c>
      <c r="C20" s="9"/>
      <c r="D20" s="9"/>
      <c r="E20" s="9" t="n">
        <v>-5177</v>
      </c>
      <c r="F20" s="9" t="n">
        <v>-8000</v>
      </c>
      <c r="G20" s="9" t="n">
        <v>-234803</v>
      </c>
      <c r="H20" s="9" t="n">
        <v>-226747</v>
      </c>
    </row>
    <row r="21" customFormat="false" ht="15" hidden="false" customHeight="true" outlineLevel="0" collapsed="false">
      <c r="A21" s="41" t="s">
        <v>191</v>
      </c>
      <c r="B21" s="8" t="s">
        <v>40</v>
      </c>
      <c r="C21" s="9"/>
      <c r="D21" s="9"/>
      <c r="E21" s="9" t="n">
        <v>135051</v>
      </c>
      <c r="F21" s="9" t="n">
        <v>137000</v>
      </c>
      <c r="G21" s="9" t="n">
        <v>117767</v>
      </c>
      <c r="H21" s="9" t="n">
        <v>126549</v>
      </c>
    </row>
    <row r="22" customFormat="false" ht="15" hidden="false" customHeight="true" outlineLevel="0" collapsed="false">
      <c r="A22" s="41" t="s">
        <v>192</v>
      </c>
      <c r="B22" s="8" t="s">
        <v>47</v>
      </c>
      <c r="C22" s="9"/>
      <c r="D22" s="9"/>
      <c r="E22" s="9" t="n">
        <v>15946</v>
      </c>
      <c r="F22" s="9" t="n">
        <v>29956</v>
      </c>
      <c r="G22" s="9" t="n">
        <v>-15291</v>
      </c>
      <c r="H22" s="9" t="n">
        <v>-7976</v>
      </c>
    </row>
    <row r="23" customFormat="false" ht="15" hidden="false" customHeight="true" outlineLevel="0" collapsed="false">
      <c r="A23" s="41" t="s">
        <v>193</v>
      </c>
      <c r="C23" s="9"/>
      <c r="D23" s="9"/>
      <c r="E23" s="9" t="n">
        <v>4177</v>
      </c>
      <c r="F23" s="9" t="n">
        <v>8317</v>
      </c>
      <c r="G23" s="9" t="n">
        <v>-61836</v>
      </c>
      <c r="H23" s="9" t="n">
        <v>-69258</v>
      </c>
    </row>
    <row r="24" customFormat="false" ht="15" hidden="false" customHeight="true" outlineLevel="0" collapsed="false">
      <c r="A24" s="41" t="s">
        <v>194</v>
      </c>
      <c r="C24" s="9"/>
      <c r="D24" s="9"/>
      <c r="E24" s="9"/>
      <c r="F24" s="9"/>
      <c r="G24" s="9"/>
      <c r="H24" s="9" t="n">
        <v>20107</v>
      </c>
    </row>
    <row r="25" customFormat="false" ht="15" hidden="false" customHeight="true" outlineLevel="0" collapsed="false">
      <c r="A25" s="42" t="s">
        <v>195</v>
      </c>
      <c r="C25" s="43" t="n">
        <f aca="false">SUM(C20:C24)</f>
        <v>0</v>
      </c>
      <c r="D25" s="43" t="n">
        <f aca="false">SUM(D20:D24)</f>
        <v>0</v>
      </c>
      <c r="E25" s="43" t="n">
        <f aca="false">SUM(E20:E24)</f>
        <v>149997</v>
      </c>
      <c r="F25" s="43" t="n">
        <f aca="false">SUM(F20:F24)</f>
        <v>167273</v>
      </c>
      <c r="G25" s="43" t="n">
        <f aca="false">SUM(G20:G24)</f>
        <v>-194163</v>
      </c>
      <c r="H25" s="43" t="n">
        <f aca="false">SUM(H20:H24)</f>
        <v>-157325</v>
      </c>
    </row>
    <row r="27" customFormat="false" ht="15" hidden="false" customHeight="true" outlineLevel="0" collapsed="false">
      <c r="A27" s="27" t="s">
        <v>196</v>
      </c>
      <c r="B27" s="16"/>
      <c r="C27" s="20" t="n">
        <f aca="false">C7+C17+C25</f>
        <v>257346</v>
      </c>
      <c r="D27" s="44" t="n">
        <v>351089</v>
      </c>
      <c r="E27" s="17" t="n">
        <f aca="false">E7+E17+E25</f>
        <v>408515</v>
      </c>
      <c r="F27" s="17" t="n">
        <f aca="false">F7+F17+F25</f>
        <v>421231</v>
      </c>
      <c r="G27" s="17" t="n">
        <f aca="false">G7+G17+G25</f>
        <v>599263</v>
      </c>
      <c r="H27" s="17" t="n">
        <f aca="false">H7+H17+H25</f>
        <v>679990</v>
      </c>
    </row>
    <row r="29" customFormat="false" ht="15" hidden="false" customHeight="true" outlineLevel="0" collapsed="false">
      <c r="A29" s="5" t="s">
        <v>197</v>
      </c>
      <c r="B29" s="5"/>
      <c r="C29" s="5"/>
      <c r="D29" s="5"/>
      <c r="E29" s="5"/>
      <c r="F29" s="5"/>
      <c r="G29" s="5"/>
      <c r="H29" s="5"/>
    </row>
    <row r="30" customFormat="false" ht="15" hidden="false" customHeight="true" outlineLevel="0" collapsed="false">
      <c r="A30" s="41" t="s">
        <v>198</v>
      </c>
      <c r="B30" s="8" t="s">
        <v>35</v>
      </c>
      <c r="C30" s="9"/>
      <c r="D30" s="9"/>
      <c r="E30" s="9" t="n">
        <v>-382368</v>
      </c>
      <c r="F30" s="9" t="n">
        <v>-382368</v>
      </c>
      <c r="G30" s="9" t="n">
        <v>-507575</v>
      </c>
      <c r="H30" s="9" t="n">
        <v>-507575</v>
      </c>
    </row>
    <row r="31" customFormat="false" ht="15" hidden="false" customHeight="true" outlineLevel="0" collapsed="false">
      <c r="A31" s="41" t="s">
        <v>199</v>
      </c>
      <c r="B31" s="8" t="s">
        <v>33</v>
      </c>
      <c r="C31" s="9"/>
      <c r="D31" s="9"/>
      <c r="E31" s="9" t="n">
        <v>-181376</v>
      </c>
      <c r="F31" s="9" t="n">
        <v>-181833</v>
      </c>
      <c r="G31" s="9" t="n">
        <v>-25212</v>
      </c>
      <c r="H31" s="9" t="n">
        <v>-38458</v>
      </c>
    </row>
    <row r="32" customFormat="false" ht="15" hidden="false" customHeight="true" outlineLevel="0" collapsed="false">
      <c r="A32" s="41" t="s">
        <v>200</v>
      </c>
      <c r="C32" s="9"/>
      <c r="D32" s="9"/>
      <c r="E32" s="9"/>
      <c r="F32" s="9"/>
      <c r="G32" s="9"/>
      <c r="H32" s="9" t="n">
        <v>-20458</v>
      </c>
    </row>
    <row r="33" customFormat="false" ht="15" hidden="false" customHeight="true" outlineLevel="0" collapsed="false">
      <c r="A33" s="41" t="s">
        <v>201</v>
      </c>
      <c r="B33" s="8" t="s">
        <v>30</v>
      </c>
      <c r="C33" s="9"/>
      <c r="D33" s="9"/>
      <c r="E33" s="9" t="n">
        <v>-5866</v>
      </c>
      <c r="F33" s="9"/>
      <c r="G33" s="9"/>
      <c r="H33" s="9"/>
    </row>
    <row r="34" customFormat="false" ht="15" hidden="false" customHeight="true" outlineLevel="0" collapsed="false">
      <c r="A34" s="41" t="s">
        <v>202</v>
      </c>
      <c r="B34" s="8" t="s">
        <v>24</v>
      </c>
      <c r="C34" s="9"/>
      <c r="D34" s="9"/>
      <c r="E34" s="9" t="n">
        <v>21027</v>
      </c>
      <c r="F34" s="9" t="n">
        <v>21027</v>
      </c>
      <c r="G34" s="9" t="n">
        <v>34167</v>
      </c>
      <c r="H34" s="9" t="n">
        <v>34167</v>
      </c>
    </row>
    <row r="35" customFormat="false" ht="15" hidden="false" customHeight="true" outlineLevel="0" collapsed="false">
      <c r="A35" s="41" t="s">
        <v>203</v>
      </c>
      <c r="C35" s="9"/>
      <c r="D35" s="9"/>
      <c r="E35" s="9" t="n">
        <v>-16064</v>
      </c>
      <c r="F35" s="9" t="n">
        <v>-16064</v>
      </c>
      <c r="G35" s="9" t="n">
        <v>-18501</v>
      </c>
      <c r="H35" s="9" t="n">
        <v>-25654</v>
      </c>
    </row>
    <row r="36" customFormat="false" ht="15" hidden="false" customHeight="true" outlineLevel="0" collapsed="false">
      <c r="A36" s="27" t="s">
        <v>204</v>
      </c>
      <c r="B36" s="16"/>
      <c r="C36" s="20" t="n">
        <f aca="false">SUM(C30:C35)</f>
        <v>0</v>
      </c>
      <c r="D36" s="44" t="n">
        <v>-312929</v>
      </c>
      <c r="E36" s="17" t="n">
        <f aca="false">SUM(E30:E35)</f>
        <v>-564647</v>
      </c>
      <c r="F36" s="17" t="n">
        <f aca="false">SUM(F30:F35)</f>
        <v>-559238</v>
      </c>
      <c r="G36" s="17" t="n">
        <f aca="false">SUM(G30:G35)</f>
        <v>-517121</v>
      </c>
      <c r="H36" s="17" t="n">
        <f aca="false">SUM(H30:H35)</f>
        <v>-557978</v>
      </c>
    </row>
    <row r="38" customFormat="false" ht="15" hidden="false" customHeight="true" outlineLevel="0" collapsed="false">
      <c r="A38" s="45" t="s">
        <v>205</v>
      </c>
      <c r="B38" s="46"/>
      <c r="C38" s="20" t="n">
        <f aca="false">C27+C36</f>
        <v>257346</v>
      </c>
      <c r="D38" s="47" t="n">
        <f aca="false">D27+D36</f>
        <v>38160</v>
      </c>
      <c r="E38" s="47" t="n">
        <f aca="false">E27+E36</f>
        <v>-156132</v>
      </c>
      <c r="F38" s="47" t="n">
        <f aca="false">F27+F36</f>
        <v>-138007</v>
      </c>
      <c r="G38" s="47" t="n">
        <f aca="false">G27+G36</f>
        <v>82142</v>
      </c>
      <c r="H38" s="47" t="n">
        <f aca="false">H27+H36</f>
        <v>122012</v>
      </c>
    </row>
    <row r="40" customFormat="false" ht="15" hidden="false" customHeight="true" outlineLevel="0" collapsed="false">
      <c r="A40" s="5" t="s">
        <v>206</v>
      </c>
      <c r="B40" s="5"/>
      <c r="C40" s="5"/>
      <c r="D40" s="5"/>
      <c r="E40" s="5"/>
      <c r="F40" s="5"/>
      <c r="G40" s="5"/>
      <c r="H40" s="5"/>
    </row>
    <row r="41" customFormat="false" ht="15" hidden="false" customHeight="true" outlineLevel="0" collapsed="false">
      <c r="A41" s="41" t="s">
        <v>207</v>
      </c>
      <c r="B41" s="8" t="s">
        <v>30</v>
      </c>
      <c r="C41" s="9"/>
      <c r="D41" s="9"/>
      <c r="E41" s="9"/>
      <c r="F41" s="9" t="n">
        <v>3159</v>
      </c>
      <c r="G41" s="9"/>
      <c r="H41" s="9" t="n">
        <v>12038</v>
      </c>
    </row>
    <row r="42" customFormat="false" ht="15" hidden="false" customHeight="true" outlineLevel="0" collapsed="false">
      <c r="A42" s="41" t="s">
        <v>208</v>
      </c>
      <c r="C42" s="9"/>
      <c r="D42" s="9" t="n">
        <v>-31533</v>
      </c>
      <c r="E42" s="9"/>
      <c r="F42" s="9"/>
      <c r="G42" s="9"/>
      <c r="H42" s="9"/>
    </row>
    <row r="43" customFormat="false" ht="15" hidden="false" customHeight="true" outlineLevel="0" collapsed="false">
      <c r="A43" s="41" t="s">
        <v>209</v>
      </c>
      <c r="B43" s="8" t="s">
        <v>43</v>
      </c>
      <c r="C43" s="9"/>
      <c r="D43" s="9" t="n">
        <v>-9027</v>
      </c>
      <c r="E43" s="9" t="n">
        <v>-7798</v>
      </c>
      <c r="F43" s="9" t="n">
        <v>-7798</v>
      </c>
      <c r="G43" s="9" t="n">
        <v>-8758</v>
      </c>
      <c r="H43" s="9" t="n">
        <v>-8758</v>
      </c>
    </row>
    <row r="44" customFormat="false" ht="15" hidden="false" customHeight="true" outlineLevel="0" collapsed="false">
      <c r="A44" s="41" t="s">
        <v>210</v>
      </c>
      <c r="B44" s="8" t="s">
        <v>49</v>
      </c>
      <c r="C44" s="9"/>
      <c r="D44" s="9"/>
      <c r="E44" s="9"/>
      <c r="F44" s="9"/>
      <c r="G44" s="9"/>
      <c r="H44" s="9" t="n">
        <v>-20061</v>
      </c>
    </row>
    <row r="45" customFormat="false" ht="15" hidden="false" customHeight="true" outlineLevel="0" collapsed="false">
      <c r="A45" s="41" t="s">
        <v>211</v>
      </c>
      <c r="B45" s="8" t="s">
        <v>30</v>
      </c>
      <c r="C45" s="9"/>
      <c r="D45" s="9"/>
      <c r="E45" s="9"/>
      <c r="F45" s="9"/>
      <c r="G45" s="9"/>
      <c r="H45" s="9" t="n">
        <v>-5358</v>
      </c>
    </row>
    <row r="46" customFormat="false" ht="15" hidden="false" customHeight="true" outlineLevel="0" collapsed="false">
      <c r="A46" s="27" t="s">
        <v>212</v>
      </c>
      <c r="B46" s="16"/>
      <c r="C46" s="48" t="n">
        <f aca="false">SUM(C41:C45)</f>
        <v>0</v>
      </c>
      <c r="D46" s="17" t="n">
        <f aca="false">SUM(D41:D45)</f>
        <v>-40560</v>
      </c>
      <c r="E46" s="17" t="n">
        <f aca="false">SUM(E41:E45)</f>
        <v>-7798</v>
      </c>
      <c r="F46" s="17" t="n">
        <f aca="false">SUM(F41:F45)</f>
        <v>-4639</v>
      </c>
      <c r="G46" s="17" t="n">
        <f aca="false">SUM(G41:G45)</f>
        <v>-8758</v>
      </c>
      <c r="H46" s="17" t="n">
        <f aca="false">SUM(H41:H45)</f>
        <v>-22139</v>
      </c>
    </row>
    <row r="48" customFormat="false" ht="15" hidden="false" customHeight="true" outlineLevel="0" collapsed="false">
      <c r="A48" s="5" t="s">
        <v>213</v>
      </c>
      <c r="B48" s="5"/>
      <c r="C48" s="5"/>
      <c r="D48" s="5"/>
      <c r="E48" s="5"/>
      <c r="F48" s="5"/>
      <c r="G48" s="5"/>
      <c r="H48" s="5"/>
    </row>
    <row r="49" customFormat="false" ht="15" hidden="false" customHeight="true" outlineLevel="0" collapsed="false">
      <c r="A49" s="27" t="s">
        <v>214</v>
      </c>
      <c r="B49" s="16"/>
      <c r="C49" s="48" t="n">
        <f aca="false">C27+C36+C46</f>
        <v>257346</v>
      </c>
      <c r="D49" s="17" t="n">
        <f aca="false">D27+D36+D46</f>
        <v>-2400</v>
      </c>
      <c r="E49" s="17" t="n">
        <f aca="false">E27+E36+E46</f>
        <v>-163930</v>
      </c>
      <c r="F49" s="17" t="n">
        <f aca="false">F27+F36+F46</f>
        <v>-142646</v>
      </c>
      <c r="G49" s="17" t="n">
        <f aca="false">G27+G36+G46</f>
        <v>73384</v>
      </c>
      <c r="H49" s="17" t="n">
        <f aca="false">H27+H36+H46</f>
        <v>99873</v>
      </c>
    </row>
    <row r="51" customFormat="false" ht="15" hidden="false" customHeight="true" outlineLevel="0" collapsed="false">
      <c r="A51" s="7" t="s">
        <v>215</v>
      </c>
      <c r="C51" s="9" t="n">
        <v>127182</v>
      </c>
      <c r="D51" s="9" t="n">
        <v>236887</v>
      </c>
      <c r="E51" s="9" t="n">
        <v>234487</v>
      </c>
      <c r="F51" s="9" t="n">
        <v>234487</v>
      </c>
      <c r="G51" s="9" t="n">
        <v>70557</v>
      </c>
      <c r="H51" s="9" t="n">
        <v>91841</v>
      </c>
    </row>
    <row r="52" customFormat="false" ht="15" hidden="false" customHeight="true" outlineLevel="0" collapsed="false">
      <c r="A52" s="7" t="s">
        <v>216</v>
      </c>
      <c r="C52" s="40" t="n">
        <f aca="false">BP!C7</f>
        <v>236887</v>
      </c>
      <c r="D52" s="40" t="n">
        <f aca="false">BP!D7</f>
        <v>234487</v>
      </c>
      <c r="E52" s="40" t="n">
        <f aca="false">BP!E7</f>
        <v>70557</v>
      </c>
      <c r="F52" s="40" t="n">
        <f aca="false">BP!F7</f>
        <v>91841</v>
      </c>
      <c r="G52" s="40" t="n">
        <f aca="false">BP!G7</f>
        <v>143941</v>
      </c>
      <c r="H52" s="40" t="n">
        <f aca="false">BP!H7</f>
        <v>191714</v>
      </c>
    </row>
    <row r="53" customFormat="false" ht="15" hidden="false" customHeight="true" outlineLevel="0" collapsed="false">
      <c r="A53" s="49" t="s">
        <v>217</v>
      </c>
      <c r="C53" s="20" t="n">
        <f aca="false">C49-(C52-C51)</f>
        <v>147641</v>
      </c>
      <c r="D53" s="20" t="n">
        <f aca="false">D49-(D52-D51)</f>
        <v>0</v>
      </c>
      <c r="E53" s="20" t="n">
        <f aca="false">E49-(E52-E51)</f>
        <v>0</v>
      </c>
      <c r="F53" s="20" t="n">
        <f aca="false">F49-(F52-F51)</f>
        <v>0</v>
      </c>
      <c r="G53" s="20" t="n">
        <f aca="false">G49-(G52-G51)</f>
        <v>0</v>
      </c>
      <c r="H53" s="20" t="n">
        <f aca="false">H49-(H52-H51)</f>
        <v>0</v>
      </c>
    </row>
    <row r="55" customFormat="false" ht="15" hidden="false" customHeight="true" outlineLevel="0" collapsed="false">
      <c r="A55" s="5" t="s">
        <v>218</v>
      </c>
      <c r="B55" s="5"/>
      <c r="C55" s="5"/>
      <c r="D55" s="5"/>
      <c r="E55" s="5"/>
      <c r="F55" s="5"/>
      <c r="G55" s="5"/>
      <c r="H55" s="5"/>
    </row>
    <row r="56" customFormat="false" ht="15" hidden="false" customHeight="true" outlineLevel="0" collapsed="false">
      <c r="A56" s="7" t="s">
        <v>219</v>
      </c>
      <c r="B56" s="8" t="s">
        <v>35</v>
      </c>
      <c r="C56" s="9"/>
      <c r="D56" s="9"/>
      <c r="E56" s="9" t="n">
        <v>414808</v>
      </c>
      <c r="F56" s="9" t="n">
        <v>414808</v>
      </c>
      <c r="G56" s="9" t="n">
        <v>635605</v>
      </c>
      <c r="H56" s="9" t="n">
        <v>635605</v>
      </c>
    </row>
    <row r="57" customFormat="false" ht="15" hidden="false" customHeight="true" outlineLevel="0" collapsed="false">
      <c r="A57" s="7" t="s">
        <v>220</v>
      </c>
      <c r="C57" s="31" t="n">
        <f aca="false">-C30</f>
        <v>-0</v>
      </c>
      <c r="D57" s="31" t="n">
        <f aca="false">-D30</f>
        <v>-0</v>
      </c>
      <c r="E57" s="31" t="n">
        <f aca="false">-E30</f>
        <v>382368</v>
      </c>
      <c r="F57" s="31" t="n">
        <f aca="false">-F30</f>
        <v>382368</v>
      </c>
      <c r="G57" s="31" t="n">
        <f aca="false">-G30</f>
        <v>507575</v>
      </c>
      <c r="H57" s="31" t="n">
        <f aca="false">-H30</f>
        <v>507575</v>
      </c>
    </row>
    <row r="58" customFormat="false" ht="15" hidden="false" customHeight="true" outlineLevel="0" collapsed="false">
      <c r="A58" s="50" t="s">
        <v>221</v>
      </c>
      <c r="B58" s="38"/>
      <c r="C58" s="39" t="n">
        <f aca="false">C56-C57</f>
        <v>0</v>
      </c>
      <c r="D58" s="39" t="n">
        <f aca="false">D56-D57</f>
        <v>0</v>
      </c>
      <c r="E58" s="39" t="n">
        <f aca="false">E56-E57</f>
        <v>32440</v>
      </c>
      <c r="F58" s="39" t="n">
        <f aca="false">F56-F57</f>
        <v>32440</v>
      </c>
      <c r="G58" s="39" t="n">
        <f aca="false">G56-G57</f>
        <v>128030</v>
      </c>
      <c r="H58" s="39" t="n">
        <f aca="false">H56-H57</f>
        <v>128030</v>
      </c>
    </row>
    <row r="60" customFormat="false" ht="15" hidden="false" customHeight="true" outlineLevel="0" collapsed="false">
      <c r="A60" s="21" t="s">
        <v>65</v>
      </c>
    </row>
    <row r="61" customFormat="false" ht="15" hidden="false" customHeight="true" outlineLevel="0" collapsed="false">
      <c r="A61" s="22" t="s">
        <v>222</v>
      </c>
      <c r="B61" s="22"/>
      <c r="C61" s="22"/>
      <c r="D61" s="22"/>
      <c r="E61" s="22"/>
      <c r="F61" s="22"/>
      <c r="G61" s="22"/>
      <c r="H61" s="22"/>
    </row>
    <row r="62" customFormat="false" ht="15" hidden="false" customHeight="true" outlineLevel="0" collapsed="false">
      <c r="A62" s="22" t="s">
        <v>223</v>
      </c>
      <c r="B62" s="22"/>
      <c r="C62" s="22"/>
      <c r="D62" s="22"/>
      <c r="E62" s="22"/>
      <c r="F62" s="22"/>
      <c r="G62" s="22"/>
      <c r="H62" s="22"/>
    </row>
    <row r="63" customFormat="false" ht="15" hidden="false" customHeight="true" outlineLevel="0" collapsed="false">
      <c r="A63" s="22" t="s">
        <v>224</v>
      </c>
      <c r="B63" s="22"/>
      <c r="C63" s="22"/>
      <c r="D63" s="22"/>
      <c r="E63" s="22"/>
      <c r="F63" s="22"/>
      <c r="G63" s="22"/>
      <c r="H63" s="22"/>
    </row>
    <row r="64" customFormat="false" ht="15" hidden="false" customHeight="true" outlineLevel="0" collapsed="false">
      <c r="A64" s="22" t="s">
        <v>225</v>
      </c>
      <c r="B64" s="22"/>
      <c r="C64" s="22"/>
      <c r="D64" s="22"/>
      <c r="E64" s="22"/>
      <c r="F64" s="22"/>
      <c r="G64" s="22"/>
      <c r="H64" s="22"/>
    </row>
    <row r="65" customFormat="false" ht="15" hidden="false" customHeight="true" outlineLevel="0" collapsed="false">
      <c r="A65" s="22" t="s">
        <v>226</v>
      </c>
      <c r="B65" s="22"/>
      <c r="C65" s="22"/>
      <c r="D65" s="22"/>
      <c r="E65" s="22"/>
      <c r="F65" s="22"/>
      <c r="G65" s="22"/>
      <c r="H65" s="22"/>
    </row>
    <row r="66" customFormat="false" ht="15" hidden="false" customHeight="true" outlineLevel="0" collapsed="false">
      <c r="A66" s="22" t="s">
        <v>227</v>
      </c>
      <c r="B66" s="22"/>
      <c r="C66" s="22"/>
      <c r="D66" s="22"/>
      <c r="E66" s="22"/>
      <c r="F66" s="22"/>
      <c r="G66" s="22"/>
      <c r="H66" s="22"/>
    </row>
    <row r="67" customFormat="false" ht="15" hidden="false" customHeight="true" outlineLevel="0" collapsed="false">
      <c r="A67" s="22" t="s">
        <v>228</v>
      </c>
      <c r="B67" s="22"/>
      <c r="C67" s="22"/>
      <c r="D67" s="22"/>
      <c r="E67" s="22"/>
      <c r="F67" s="22"/>
      <c r="G67" s="22"/>
      <c r="H67" s="22"/>
    </row>
    <row r="68" customFormat="false" ht="15" hidden="false" customHeight="true" outlineLevel="0" collapsed="false">
      <c r="A68" s="22" t="s">
        <v>229</v>
      </c>
      <c r="B68" s="22"/>
      <c r="C68" s="22"/>
      <c r="D68" s="22"/>
      <c r="E68" s="22"/>
      <c r="F68" s="22"/>
      <c r="G68" s="22"/>
      <c r="H68" s="22"/>
    </row>
    <row r="69" customFormat="false" ht="15" hidden="false" customHeight="true" outlineLevel="0" collapsed="false">
      <c r="A69" s="22" t="s">
        <v>230</v>
      </c>
      <c r="B69" s="22"/>
      <c r="C69" s="22"/>
      <c r="D69" s="22"/>
      <c r="E69" s="22"/>
      <c r="F69" s="22"/>
      <c r="G69" s="22"/>
      <c r="H69" s="22"/>
    </row>
    <row r="70" customFormat="false" ht="15" hidden="false" customHeight="true" outlineLevel="0" collapsed="false">
      <c r="A70" s="22" t="s">
        <v>231</v>
      </c>
      <c r="B70" s="22"/>
      <c r="C70" s="22"/>
      <c r="D70" s="22"/>
      <c r="E70" s="22"/>
      <c r="F70" s="22"/>
      <c r="G70" s="22"/>
      <c r="H70" s="22"/>
    </row>
    <row r="71" customFormat="false" ht="15" hidden="false" customHeight="true" outlineLevel="0" collapsed="false">
      <c r="A71" s="22" t="s">
        <v>232</v>
      </c>
      <c r="B71" s="22"/>
      <c r="C71" s="22"/>
      <c r="D71" s="22"/>
      <c r="E71" s="22"/>
      <c r="F71" s="22"/>
      <c r="G71" s="22"/>
      <c r="H71" s="22"/>
    </row>
    <row r="72" customFormat="false" ht="15" hidden="false" customHeight="true" outlineLevel="0" collapsed="false">
      <c r="A72" s="22" t="s">
        <v>233</v>
      </c>
      <c r="B72" s="22"/>
      <c r="C72" s="22"/>
      <c r="D72" s="22"/>
      <c r="E72" s="22"/>
      <c r="F72" s="22"/>
      <c r="G72" s="22"/>
      <c r="H72" s="22"/>
    </row>
    <row r="73" customFormat="false" ht="15" hidden="false" customHeight="true" outlineLevel="0" collapsed="false">
      <c r="A73" s="22" t="s">
        <v>234</v>
      </c>
      <c r="B73" s="22"/>
      <c r="C73" s="22"/>
      <c r="D73" s="22"/>
      <c r="E73" s="22"/>
      <c r="F73" s="22"/>
      <c r="G73" s="22"/>
      <c r="H73" s="22"/>
    </row>
  </sheetData>
  <mergeCells count="20">
    <mergeCell ref="A1:H1"/>
    <mergeCell ref="A2:H2"/>
    <mergeCell ref="A6:H6"/>
    <mergeCell ref="A29:H29"/>
    <mergeCell ref="A40:H40"/>
    <mergeCell ref="A48:H48"/>
    <mergeCell ref="A55:H55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8"/>
    <col collapsed="false" customWidth="true" hidden="false" outlineLevel="0" max="8" min="3" style="1" width="14"/>
  </cols>
  <sheetData>
    <row r="1" customFormat="false" ht="17.25" hidden="false" customHeight="true" outlineLevel="0" collapsed="false">
      <c r="A1" s="2" t="s">
        <v>235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236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</row>
    <row r="6" customFormat="false" ht="15" hidden="false" customHeight="true" outlineLevel="0" collapsed="false">
      <c r="A6" s="5" t="s">
        <v>237</v>
      </c>
      <c r="B6" s="5"/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7" t="s">
        <v>238</v>
      </c>
      <c r="C7" s="40" t="n">
        <f aca="false">DRE!C18</f>
        <v>156676</v>
      </c>
      <c r="D7" s="40" t="n">
        <f aca="false">DRE!D18</f>
        <v>291699</v>
      </c>
      <c r="E7" s="40" t="n">
        <f aca="false">DRE!E18</f>
        <v>44749</v>
      </c>
      <c r="F7" s="40" t="n">
        <f aca="false">DRE!F18</f>
        <v>46131</v>
      </c>
      <c r="G7" s="40" t="n">
        <f aca="false">DRE!G18</f>
        <v>313460</v>
      </c>
      <c r="H7" s="40" t="n">
        <f aca="false">DRE!H18</f>
        <v>350886</v>
      </c>
    </row>
    <row r="8" customFormat="false" ht="15" hidden="false" customHeight="true" outlineLevel="0" collapsed="false">
      <c r="A8" s="7" t="s">
        <v>239</v>
      </c>
      <c r="C8" s="40" t="n">
        <f aca="false">DFC!C10</f>
        <v>121656</v>
      </c>
      <c r="D8" s="40" t="n">
        <f aca="false">DFC!D10</f>
        <v>175729</v>
      </c>
      <c r="E8" s="40" t="n">
        <f aca="false">DFC!E10</f>
        <v>213621</v>
      </c>
      <c r="F8" s="40" t="n">
        <f aca="false">DFC!F10</f>
        <v>213621</v>
      </c>
      <c r="G8" s="40" t="n">
        <f aca="false">DFC!G10</f>
        <v>243716</v>
      </c>
      <c r="H8" s="40" t="n">
        <f aca="false">DFC!H10</f>
        <v>243716</v>
      </c>
    </row>
    <row r="9" customFormat="false" ht="15" hidden="false" customHeight="true" outlineLevel="0" collapsed="false">
      <c r="A9" s="7" t="s">
        <v>240</v>
      </c>
      <c r="C9" s="9" t="n">
        <v>8000</v>
      </c>
      <c r="D9" s="9" t="n">
        <v>7731</v>
      </c>
      <c r="E9" s="40" t="n">
        <f aca="false">DFC!E11</f>
        <v>10651</v>
      </c>
      <c r="F9" s="40" t="n">
        <f aca="false">DFC!F11</f>
        <v>11394</v>
      </c>
      <c r="G9" s="40" t="n">
        <f aca="false">DFC!G11</f>
        <v>12070</v>
      </c>
      <c r="H9" s="40" t="n">
        <f aca="false">DFC!H11</f>
        <v>12625</v>
      </c>
    </row>
    <row r="11" customFormat="false" ht="15" hidden="false" customHeight="true" outlineLevel="0" collapsed="false">
      <c r="A11" s="10" t="s">
        <v>241</v>
      </c>
      <c r="B11" s="11"/>
      <c r="C11" s="12" t="n">
        <f aca="false">C7+C8+C9</f>
        <v>286332</v>
      </c>
      <c r="D11" s="12" t="n">
        <f aca="false">D7+D8+D9</f>
        <v>475159</v>
      </c>
      <c r="E11" s="12" t="n">
        <f aca="false">E7+E8+E9</f>
        <v>269021</v>
      </c>
      <c r="F11" s="12" t="n">
        <f aca="false">F7+F8+F9</f>
        <v>271146</v>
      </c>
      <c r="G11" s="12" t="n">
        <f aca="false">G7+G8+G9</f>
        <v>569246</v>
      </c>
      <c r="H11" s="12" t="n">
        <f aca="false">H7+H8+H9</f>
        <v>607227</v>
      </c>
    </row>
    <row r="13" customFormat="false" ht="15" hidden="false" customHeight="true" outlineLevel="0" collapsed="false">
      <c r="A13" s="5" t="s">
        <v>242</v>
      </c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41" t="s">
        <v>243</v>
      </c>
      <c r="B14" s="8" t="s">
        <v>93</v>
      </c>
      <c r="C14" s="9" t="n">
        <v>67005</v>
      </c>
      <c r="D14" s="9" t="n">
        <v>221171</v>
      </c>
      <c r="E14" s="9" t="n">
        <v>47233</v>
      </c>
      <c r="F14" s="9" t="n">
        <v>47233</v>
      </c>
      <c r="G14" s="9" t="n">
        <v>267360</v>
      </c>
      <c r="H14" s="9" t="n">
        <v>267360</v>
      </c>
    </row>
    <row r="15" customFormat="false" ht="15" hidden="false" customHeight="true" outlineLevel="0" collapsed="false">
      <c r="A15" s="41" t="s">
        <v>244</v>
      </c>
      <c r="B15" s="8" t="s">
        <v>24</v>
      </c>
      <c r="C15" s="9" t="n">
        <v>0</v>
      </c>
      <c r="D15" s="9" t="n">
        <v>0</v>
      </c>
      <c r="E15" s="9" t="n">
        <v>8158</v>
      </c>
      <c r="F15" s="9" t="n">
        <v>8158</v>
      </c>
      <c r="G15" s="9" t="n">
        <v>7010</v>
      </c>
      <c r="H15" s="9" t="n">
        <v>7010</v>
      </c>
    </row>
    <row r="16" customFormat="false" ht="15" hidden="false" customHeight="true" outlineLevel="0" collapsed="false">
      <c r="A16" s="41" t="s">
        <v>185</v>
      </c>
      <c r="B16" s="8" t="s">
        <v>30</v>
      </c>
      <c r="C16" s="51"/>
      <c r="D16" s="51"/>
      <c r="E16" s="9" t="n">
        <v>-3465</v>
      </c>
      <c r="F16" s="51"/>
      <c r="G16" s="9" t="n">
        <v>13939</v>
      </c>
      <c r="H16" s="51"/>
    </row>
    <row r="17" customFormat="false" ht="15" hidden="false" customHeight="true" outlineLevel="0" collapsed="false">
      <c r="A17" s="41" t="s">
        <v>245</v>
      </c>
      <c r="B17" s="8" t="s">
        <v>81</v>
      </c>
      <c r="C17" s="51"/>
      <c r="D17" s="51"/>
      <c r="E17" s="51"/>
      <c r="F17" s="51"/>
      <c r="G17" s="9" t="n">
        <v>152600</v>
      </c>
      <c r="H17" s="9" t="n">
        <v>152600</v>
      </c>
    </row>
    <row r="18" customFormat="false" ht="15" hidden="false" customHeight="true" outlineLevel="0" collapsed="false">
      <c r="A18" s="41" t="s">
        <v>246</v>
      </c>
      <c r="B18" s="8" t="s">
        <v>81</v>
      </c>
      <c r="C18" s="51"/>
      <c r="D18" s="51"/>
      <c r="E18" s="51"/>
      <c r="F18" s="51"/>
      <c r="G18" s="9" t="n">
        <v>21600</v>
      </c>
      <c r="H18" s="9" t="n">
        <v>21600</v>
      </c>
    </row>
    <row r="19" customFormat="false" ht="15" hidden="false" customHeight="true" outlineLevel="0" collapsed="false">
      <c r="A19" s="41" t="s">
        <v>247</v>
      </c>
      <c r="B19" s="8" t="s">
        <v>28</v>
      </c>
      <c r="C19" s="51"/>
      <c r="D19" s="51"/>
      <c r="E19" s="51"/>
      <c r="F19" s="51"/>
      <c r="G19" s="9" t="n">
        <v>23246</v>
      </c>
      <c r="H19" s="9" t="n">
        <v>23246</v>
      </c>
    </row>
    <row r="20" customFormat="false" ht="15" hidden="false" customHeight="true" outlineLevel="0" collapsed="false">
      <c r="A20" s="41" t="s">
        <v>248</v>
      </c>
      <c r="B20" s="8" t="s">
        <v>249</v>
      </c>
      <c r="C20" s="51"/>
      <c r="D20" s="9" t="n">
        <v>19440</v>
      </c>
      <c r="E20" s="9" t="n">
        <v>0</v>
      </c>
      <c r="F20" s="9" t="n">
        <v>0</v>
      </c>
      <c r="G20" s="9" t="n">
        <v>0</v>
      </c>
      <c r="H20" s="9" t="n">
        <v>0</v>
      </c>
    </row>
    <row r="21" customFormat="false" ht="15" hidden="false" customHeight="true" outlineLevel="0" collapsed="false">
      <c r="A21" s="41" t="s">
        <v>250</v>
      </c>
      <c r="C21" s="9" t="n">
        <v>57500</v>
      </c>
      <c r="D21" s="51"/>
      <c r="E21" s="51"/>
      <c r="F21" s="51"/>
      <c r="G21" s="51"/>
      <c r="H21" s="51"/>
    </row>
    <row r="22" customFormat="false" ht="15" hidden="false" customHeight="true" outlineLevel="0" collapsed="false">
      <c r="A22" s="41" t="s">
        <v>251</v>
      </c>
      <c r="C22" s="9" t="n">
        <v>10000</v>
      </c>
      <c r="D22" s="51"/>
      <c r="E22" s="51"/>
      <c r="F22" s="51"/>
      <c r="G22" s="51"/>
      <c r="H22" s="51"/>
    </row>
    <row r="24" customFormat="false" ht="15" hidden="false" customHeight="true" outlineLevel="0" collapsed="false">
      <c r="A24" s="10" t="s">
        <v>252</v>
      </c>
      <c r="B24" s="11"/>
      <c r="C24" s="12" t="n">
        <f aca="false">SUM(C14:C22)</f>
        <v>134505</v>
      </c>
      <c r="D24" s="12" t="n">
        <f aca="false">SUM(D14:D22)</f>
        <v>240611</v>
      </c>
      <c r="E24" s="12" t="n">
        <f aca="false">SUM(E14:E22)</f>
        <v>51926</v>
      </c>
      <c r="F24" s="12" t="n">
        <f aca="false">SUM(F14:F22)</f>
        <v>55391</v>
      </c>
      <c r="G24" s="12" t="n">
        <f aca="false">SUM(G14:G22)</f>
        <v>485755</v>
      </c>
      <c r="H24" s="12" t="n">
        <f aca="false">SUM(H14:H22)</f>
        <v>471816</v>
      </c>
    </row>
    <row r="26" customFormat="false" ht="15" hidden="false" customHeight="true" outlineLevel="0" collapsed="false">
      <c r="A26" s="27" t="s">
        <v>253</v>
      </c>
      <c r="B26" s="16"/>
      <c r="C26" s="17" t="n">
        <f aca="false">C11-C24</f>
        <v>151827</v>
      </c>
      <c r="D26" s="17" t="n">
        <f aca="false">D11-D24</f>
        <v>234548</v>
      </c>
      <c r="E26" s="17" t="n">
        <f aca="false">E11-E24</f>
        <v>217095</v>
      </c>
      <c r="F26" s="17" t="n">
        <f aca="false">F11-F24</f>
        <v>215755</v>
      </c>
      <c r="G26" s="17" t="n">
        <f aca="false">G11-G24</f>
        <v>83491</v>
      </c>
      <c r="H26" s="17" t="n">
        <f aca="false">H11-H24</f>
        <v>135411</v>
      </c>
    </row>
    <row r="28" customFormat="false" ht="15" hidden="false" customHeight="true" outlineLevel="0" collapsed="false">
      <c r="A28" s="5" t="s">
        <v>254</v>
      </c>
      <c r="B28" s="5"/>
      <c r="C28" s="5"/>
      <c r="D28" s="5"/>
      <c r="E28" s="5"/>
      <c r="F28" s="5"/>
      <c r="G28" s="5"/>
      <c r="H28" s="5"/>
    </row>
    <row r="29" customFormat="false" ht="15" hidden="false" customHeight="true" outlineLevel="0" collapsed="false">
      <c r="A29" s="7" t="s">
        <v>255</v>
      </c>
      <c r="C29" s="40" t="n">
        <f aca="false">DRE!C6</f>
        <v>979078</v>
      </c>
      <c r="D29" s="40" t="n">
        <f aca="false">DRE!D6</f>
        <v>1012380</v>
      </c>
      <c r="E29" s="40" t="n">
        <f aca="false">DRE!E6</f>
        <v>1142151</v>
      </c>
      <c r="F29" s="40" t="n">
        <f aca="false">DRE!F6</f>
        <v>1158862</v>
      </c>
      <c r="G29" s="40" t="n">
        <f aca="false">DRE!G6</f>
        <v>1393755</v>
      </c>
      <c r="H29" s="40" t="n">
        <f aca="false">DRE!H6</f>
        <v>1499741</v>
      </c>
    </row>
    <row r="30" customFormat="false" ht="15" hidden="false" customHeight="true" outlineLevel="0" collapsed="false">
      <c r="A30" s="7" t="s">
        <v>256</v>
      </c>
      <c r="C30" s="40" t="n">
        <f aca="false">'Receita Detalhada'!C56</f>
        <v>10000</v>
      </c>
      <c r="D30" s="40" t="n">
        <f aca="false">'Receita Detalhada'!D56</f>
        <v>0</v>
      </c>
      <c r="E30" s="40" t="n">
        <f aca="false">'Receita Detalhada'!E56</f>
        <v>0</v>
      </c>
      <c r="F30" s="40" t="n">
        <f aca="false">'Receita Detalhada'!F56</f>
        <v>0</v>
      </c>
      <c r="G30" s="40" t="n">
        <f aca="false">'Receita Detalhada'!G56</f>
        <v>174200</v>
      </c>
      <c r="H30" s="40" t="n">
        <f aca="false">'Receita Detalhada'!H56</f>
        <v>174200</v>
      </c>
    </row>
    <row r="31" customFormat="false" ht="15" hidden="false" customHeight="true" outlineLevel="0" collapsed="false">
      <c r="A31" s="10" t="s">
        <v>257</v>
      </c>
      <c r="B31" s="11"/>
      <c r="C31" s="12" t="n">
        <f aca="false">C29-C30</f>
        <v>969078</v>
      </c>
      <c r="D31" s="12" t="n">
        <f aca="false">D29-D30</f>
        <v>1012380</v>
      </c>
      <c r="E31" s="12" t="n">
        <f aca="false">E29-E30</f>
        <v>1142151</v>
      </c>
      <c r="F31" s="12" t="n">
        <f aca="false">F29-F30</f>
        <v>1158862</v>
      </c>
      <c r="G31" s="12" t="n">
        <f aca="false">G29-G30</f>
        <v>1219555</v>
      </c>
      <c r="H31" s="12" t="n">
        <f aca="false">H29-H30</f>
        <v>1325541</v>
      </c>
    </row>
    <row r="33" customFormat="false" ht="15" hidden="false" customHeight="true" outlineLevel="0" collapsed="false">
      <c r="A33" s="52" t="s">
        <v>258</v>
      </c>
      <c r="B33" s="25"/>
      <c r="C33" s="53" t="n">
        <f aca="false">IFERROR(C11/C29,0)</f>
        <v>0.292450652552708</v>
      </c>
      <c r="D33" s="53" t="n">
        <f aca="false">IFERROR(D11/D29,0)</f>
        <v>0.469348465991031</v>
      </c>
      <c r="E33" s="53" t="n">
        <f aca="false">IFERROR(E11/E29,0)</f>
        <v>0.235538908603153</v>
      </c>
      <c r="F33" s="53" t="n">
        <f aca="false">IFERROR(F11/F29,0)</f>
        <v>0.233976090336899</v>
      </c>
      <c r="G33" s="53" t="n">
        <f aca="false">IFERROR(G11/G29,0)</f>
        <v>0.408426158112437</v>
      </c>
      <c r="H33" s="53" t="n">
        <f aca="false">IFERROR(H11/H29,0)</f>
        <v>0.404887910645905</v>
      </c>
    </row>
    <row r="34" customFormat="false" ht="15" hidden="false" customHeight="true" outlineLevel="0" collapsed="false">
      <c r="A34" s="52" t="s">
        <v>259</v>
      </c>
      <c r="B34" s="25"/>
      <c r="C34" s="53" t="n">
        <f aca="false">IFERROR(C26/C31,0)</f>
        <v>0.156671599190158</v>
      </c>
      <c r="D34" s="53" t="n">
        <f aca="false">IFERROR(D26/D31,0)</f>
        <v>0.231679804026156</v>
      </c>
      <c r="E34" s="53" t="n">
        <f aca="false">IFERROR(E26/E31,0)</f>
        <v>0.190075567941542</v>
      </c>
      <c r="F34" s="53" t="n">
        <f aca="false">IFERROR(F26/F31,0)</f>
        <v>0.186178337023735</v>
      </c>
      <c r="G34" s="53" t="n">
        <f aca="false">IFERROR(G26/G31,0)</f>
        <v>0.0684602170463817</v>
      </c>
      <c r="H34" s="53" t="n">
        <f aca="false">IFERROR(H26/H31,0)</f>
        <v>0.102155270942204</v>
      </c>
    </row>
    <row r="36" customFormat="false" ht="15" hidden="false" customHeight="true" outlineLevel="0" collapsed="false">
      <c r="A36" s="5" t="s">
        <v>260</v>
      </c>
      <c r="B36" s="5"/>
      <c r="C36" s="5"/>
      <c r="D36" s="5"/>
      <c r="E36" s="5"/>
      <c r="F36" s="5"/>
      <c r="G36" s="5"/>
      <c r="H36" s="5"/>
    </row>
    <row r="37" customFormat="false" ht="15" hidden="false" customHeight="true" outlineLevel="0" collapsed="false">
      <c r="A37" s="41" t="s">
        <v>261</v>
      </c>
      <c r="B37" s="8" t="s">
        <v>84</v>
      </c>
      <c r="C37" s="9" t="n">
        <v>348980</v>
      </c>
      <c r="D37" s="9" t="n">
        <v>339050</v>
      </c>
      <c r="E37" s="9" t="n">
        <v>386020</v>
      </c>
      <c r="F37" s="9" t="n">
        <v>386020</v>
      </c>
      <c r="G37" s="9" t="n">
        <v>525089</v>
      </c>
      <c r="H37" s="9" t="n">
        <v>540000</v>
      </c>
    </row>
    <row r="38" customFormat="false" ht="15" hidden="false" customHeight="true" outlineLevel="0" collapsed="false">
      <c r="A38" s="41" t="s">
        <v>262</v>
      </c>
      <c r="B38" s="8" t="s">
        <v>84</v>
      </c>
      <c r="C38" s="9" t="n">
        <v>89456</v>
      </c>
      <c r="D38" s="9" t="n">
        <v>124000</v>
      </c>
      <c r="E38" s="9" t="n">
        <v>138020</v>
      </c>
      <c r="F38" s="9" t="n">
        <v>138020</v>
      </c>
      <c r="G38" s="9" t="n">
        <v>171094</v>
      </c>
      <c r="H38" s="9" t="n">
        <v>171094</v>
      </c>
    </row>
    <row r="40" customFormat="false" ht="15" hidden="false" customHeight="true" outlineLevel="0" collapsed="false">
      <c r="A40" s="10" t="s">
        <v>263</v>
      </c>
      <c r="B40" s="11"/>
      <c r="C40" s="12" t="n">
        <f aca="false">C37+C38</f>
        <v>438436</v>
      </c>
      <c r="D40" s="12" t="n">
        <f aca="false">D37+D38</f>
        <v>463050</v>
      </c>
      <c r="E40" s="12" t="n">
        <f aca="false">E37+E38</f>
        <v>524040</v>
      </c>
      <c r="F40" s="12" t="n">
        <f aca="false">F37+F38</f>
        <v>524040</v>
      </c>
      <c r="G40" s="12" t="n">
        <f aca="false">G37+G38</f>
        <v>696183</v>
      </c>
      <c r="H40" s="12" t="n">
        <f aca="false">H37+H38</f>
        <v>711094</v>
      </c>
    </row>
    <row r="42" customFormat="false" ht="15" hidden="false" customHeight="true" outlineLevel="0" collapsed="false">
      <c r="A42" s="54" t="s">
        <v>264</v>
      </c>
      <c r="B42" s="38"/>
      <c r="C42" s="55" t="n">
        <f aca="false">IFERROR(C40/C29,0)</f>
        <v>0.447804975701629</v>
      </c>
      <c r="D42" s="55" t="n">
        <f aca="false">IFERROR(D40/D29,0)</f>
        <v>0.457387542227227</v>
      </c>
      <c r="E42" s="55" t="n">
        <f aca="false">IFERROR(E40/E29,0)</f>
        <v>0.458818492476039</v>
      </c>
      <c r="F42" s="55" t="n">
        <f aca="false">IFERROR(F40/F29,0)</f>
        <v>0.452202246686836</v>
      </c>
      <c r="G42" s="55" t="n">
        <f aca="false">IFERROR(G40/G29,0)</f>
        <v>0.499501705823477</v>
      </c>
      <c r="H42" s="55" t="n">
        <f aca="false">IFERROR(H40/H29,0)</f>
        <v>0.474144535623151</v>
      </c>
    </row>
    <row r="43" customFormat="false" ht="15" hidden="false" customHeight="true" outlineLevel="0" collapsed="false">
      <c r="A43" s="56" t="s">
        <v>265</v>
      </c>
      <c r="B43" s="19"/>
      <c r="C43" s="57" t="n">
        <f aca="false">IFERROR(C40/C31,0)</f>
        <v>0.452425914116304</v>
      </c>
      <c r="D43" s="57" t="n">
        <f aca="false">IFERROR(D40/D31,0)</f>
        <v>0.457387542227227</v>
      </c>
      <c r="E43" s="57" t="n">
        <f aca="false">IFERROR(E40/E31,0)</f>
        <v>0.458818492476039</v>
      </c>
      <c r="F43" s="57" t="n">
        <f aca="false">IFERROR(F40/F31,0)</f>
        <v>0.452202246686836</v>
      </c>
      <c r="G43" s="57" t="n">
        <f aca="false">IFERROR(G40/G31,0)</f>
        <v>0.570850023164187</v>
      </c>
      <c r="H43" s="57" t="n">
        <f aca="false">IFERROR(H40/H31,0)</f>
        <v>0.536455681114353</v>
      </c>
    </row>
    <row r="45" customFormat="false" ht="15" hidden="false" customHeight="true" outlineLevel="0" collapsed="false">
      <c r="A45" s="5" t="s">
        <v>266</v>
      </c>
      <c r="B45" s="5"/>
      <c r="C45" s="5"/>
      <c r="D45" s="5"/>
      <c r="E45" s="5"/>
      <c r="F45" s="5"/>
      <c r="G45" s="5"/>
      <c r="H45" s="5"/>
    </row>
    <row r="46" customFormat="false" ht="15" hidden="false" customHeight="true" outlineLevel="0" collapsed="false">
      <c r="A46" s="7" t="s">
        <v>267</v>
      </c>
      <c r="C46" s="9" t="n">
        <v>231000</v>
      </c>
      <c r="D46" s="9" t="n">
        <v>272510</v>
      </c>
      <c r="E46" s="40" t="n">
        <f aca="false">DFC!E56</f>
        <v>414808</v>
      </c>
      <c r="F46" s="40" t="n">
        <f aca="false">DFC!F56</f>
        <v>414808</v>
      </c>
      <c r="G46" s="40" t="n">
        <f aca="false">DFC!G56</f>
        <v>635605</v>
      </c>
      <c r="H46" s="40" t="n">
        <f aca="false">DFC!H56</f>
        <v>635605</v>
      </c>
    </row>
    <row r="47" customFormat="false" ht="15" hidden="false" customHeight="true" outlineLevel="0" collapsed="false">
      <c r="A47" s="41" t="s">
        <v>268</v>
      </c>
      <c r="B47" s="8" t="s">
        <v>93</v>
      </c>
      <c r="C47" s="9" t="n">
        <v>133351</v>
      </c>
      <c r="D47" s="9" t="n">
        <v>303493</v>
      </c>
      <c r="E47" s="9" t="n">
        <v>107384</v>
      </c>
      <c r="F47" s="9" t="n">
        <v>107384</v>
      </c>
      <c r="G47" s="9" t="n">
        <v>518741</v>
      </c>
      <c r="H47" s="9" t="n">
        <v>518741</v>
      </c>
    </row>
    <row r="49" customFormat="false" ht="15" hidden="false" customHeight="true" outlineLevel="0" collapsed="false">
      <c r="A49" s="56" t="s">
        <v>269</v>
      </c>
      <c r="B49" s="19"/>
      <c r="C49" s="57" t="n">
        <f aca="false">IFERROR(C46/C47,0)</f>
        <v>1.73227047416217</v>
      </c>
      <c r="D49" s="57" t="n">
        <f aca="false">IFERROR(D46/D47,0)</f>
        <v>0.897911978200486</v>
      </c>
      <c r="E49" s="57" t="n">
        <f aca="false">IFERROR(E46/E47,0)</f>
        <v>3.86284735156075</v>
      </c>
      <c r="F49" s="57" t="n">
        <f aca="false">IFERROR(F46/F47,0)</f>
        <v>3.86284735156075</v>
      </c>
      <c r="G49" s="57" t="n">
        <f aca="false">IFERROR(G46/G47,0)</f>
        <v>1.2252839085401</v>
      </c>
      <c r="H49" s="57" t="n">
        <f aca="false">IFERROR(H46/H47,0)</f>
        <v>1.2252839085401</v>
      </c>
    </row>
    <row r="51" customFormat="false" ht="15" hidden="false" customHeight="true" outlineLevel="0" collapsed="false">
      <c r="A51" s="5" t="s">
        <v>270</v>
      </c>
      <c r="B51" s="5"/>
      <c r="C51" s="5"/>
      <c r="D51" s="5"/>
      <c r="E51" s="5"/>
      <c r="F51" s="5"/>
      <c r="G51" s="5"/>
      <c r="H51" s="5"/>
    </row>
    <row r="52" customFormat="false" ht="15" hidden="false" customHeight="true" outlineLevel="0" collapsed="false">
      <c r="A52" s="22" t="s">
        <v>271</v>
      </c>
      <c r="B52" s="22"/>
      <c r="C52" s="22"/>
      <c r="D52" s="22"/>
      <c r="E52" s="22"/>
      <c r="F52" s="22"/>
      <c r="G52" s="22"/>
      <c r="H52" s="22"/>
    </row>
    <row r="54" customFormat="false" ht="15" hidden="false" customHeight="true" outlineLevel="0" collapsed="false">
      <c r="A54" s="50" t="s">
        <v>272</v>
      </c>
    </row>
    <row r="55" customFormat="false" ht="15" hidden="false" customHeight="true" outlineLevel="0" collapsed="false">
      <c r="A55" s="41" t="s">
        <v>273</v>
      </c>
      <c r="C55" s="31" t="n">
        <f aca="false">G31</f>
        <v>1219555</v>
      </c>
    </row>
    <row r="56" customFormat="false" ht="15" hidden="false" customHeight="true" outlineLevel="0" collapsed="false">
      <c r="A56" s="41" t="s">
        <v>274</v>
      </c>
      <c r="C56" s="31" t="n">
        <f aca="false">G26</f>
        <v>83491</v>
      </c>
    </row>
    <row r="57" customFormat="false" ht="15" hidden="false" customHeight="true" outlineLevel="0" collapsed="false">
      <c r="A57" s="41" t="s">
        <v>275</v>
      </c>
      <c r="C57" s="31" t="n">
        <f aca="false">G29</f>
        <v>1393755</v>
      </c>
    </row>
    <row r="58" customFormat="false" ht="15" hidden="false" customHeight="true" outlineLevel="0" collapsed="false">
      <c r="A58" s="58" t="s">
        <v>276</v>
      </c>
      <c r="C58" s="39" t="n">
        <f aca="false">G30</f>
        <v>174200</v>
      </c>
    </row>
    <row r="60" customFormat="false" ht="15" hidden="false" customHeight="true" outlineLevel="0" collapsed="false">
      <c r="A60" s="42" t="s">
        <v>277</v>
      </c>
      <c r="C60" s="59" t="n">
        <f aca="false">G34</f>
        <v>0.0684602170463817</v>
      </c>
    </row>
    <row r="61" customFormat="false" ht="15" hidden="false" customHeight="true" outlineLevel="0" collapsed="false">
      <c r="A61" s="7" t="s">
        <v>278</v>
      </c>
      <c r="C61" s="60" t="n">
        <f aca="false">G33</f>
        <v>0.408426158112437</v>
      </c>
    </row>
    <row r="63" customFormat="false" ht="15" hidden="false" customHeight="true" outlineLevel="0" collapsed="false">
      <c r="A63" s="21" t="s">
        <v>65</v>
      </c>
    </row>
    <row r="64" customFormat="false" ht="15" hidden="false" customHeight="true" outlineLevel="0" collapsed="false">
      <c r="A64" s="22" t="s">
        <v>279</v>
      </c>
      <c r="B64" s="22"/>
      <c r="C64" s="22"/>
      <c r="D64" s="22"/>
      <c r="E64" s="22"/>
      <c r="F64" s="22"/>
      <c r="G64" s="22"/>
      <c r="H64" s="22"/>
    </row>
    <row r="65" customFormat="false" ht="15" hidden="false" customHeight="true" outlineLevel="0" collapsed="false">
      <c r="A65" s="22" t="s">
        <v>280</v>
      </c>
      <c r="B65" s="22"/>
      <c r="C65" s="22"/>
      <c r="D65" s="22"/>
      <c r="E65" s="22"/>
      <c r="F65" s="22"/>
      <c r="G65" s="22"/>
      <c r="H65" s="22"/>
    </row>
    <row r="66" customFormat="false" ht="15" hidden="false" customHeight="true" outlineLevel="0" collapsed="false">
      <c r="A66" s="22" t="s">
        <v>281</v>
      </c>
      <c r="B66" s="22"/>
      <c r="C66" s="22"/>
      <c r="D66" s="22"/>
      <c r="E66" s="22"/>
      <c r="F66" s="22"/>
      <c r="G66" s="22"/>
      <c r="H66" s="22"/>
    </row>
    <row r="67" customFormat="false" ht="15" hidden="false" customHeight="true" outlineLevel="0" collapsed="false">
      <c r="A67" s="22" t="s">
        <v>282</v>
      </c>
      <c r="B67" s="22"/>
      <c r="C67" s="22"/>
      <c r="D67" s="22"/>
      <c r="E67" s="22"/>
      <c r="F67" s="22"/>
      <c r="G67" s="22"/>
      <c r="H67" s="22"/>
    </row>
    <row r="68" customFormat="false" ht="15" hidden="false" customHeight="true" outlineLevel="0" collapsed="false">
      <c r="A68" s="22" t="s">
        <v>283</v>
      </c>
      <c r="B68" s="22"/>
      <c r="C68" s="22"/>
      <c r="D68" s="22"/>
      <c r="E68" s="22"/>
      <c r="F68" s="22"/>
      <c r="G68" s="22"/>
      <c r="H68" s="22"/>
    </row>
    <row r="69" customFormat="false" ht="15" hidden="false" customHeight="true" outlineLevel="0" collapsed="false">
      <c r="A69" s="22" t="s">
        <v>284</v>
      </c>
      <c r="B69" s="22"/>
      <c r="C69" s="22"/>
      <c r="D69" s="22"/>
      <c r="E69" s="22"/>
      <c r="F69" s="22"/>
      <c r="G69" s="22"/>
      <c r="H69" s="22"/>
    </row>
    <row r="70" customFormat="false" ht="15" hidden="false" customHeight="true" outlineLevel="0" collapsed="false">
      <c r="A70" s="22" t="s">
        <v>285</v>
      </c>
      <c r="B70" s="22"/>
      <c r="C70" s="22"/>
      <c r="D70" s="22"/>
      <c r="E70" s="22"/>
      <c r="F70" s="22"/>
      <c r="G70" s="22"/>
      <c r="H70" s="22"/>
    </row>
    <row r="71" customFormat="false" ht="15" hidden="false" customHeight="true" outlineLevel="0" collapsed="false">
      <c r="A71" s="22" t="s">
        <v>286</v>
      </c>
      <c r="B71" s="22"/>
      <c r="C71" s="22"/>
      <c r="D71" s="22"/>
      <c r="E71" s="22"/>
      <c r="F71" s="22"/>
      <c r="G71" s="22"/>
      <c r="H71" s="22"/>
    </row>
    <row r="72" customFormat="false" ht="15" hidden="false" customHeight="true" outlineLevel="0" collapsed="false">
      <c r="A72" s="22" t="s">
        <v>287</v>
      </c>
      <c r="B72" s="22"/>
      <c r="C72" s="22"/>
      <c r="D72" s="22"/>
      <c r="E72" s="22"/>
      <c r="F72" s="22"/>
      <c r="G72" s="22"/>
      <c r="H72" s="22"/>
    </row>
    <row r="73" customFormat="false" ht="15" hidden="false" customHeight="true" outlineLevel="0" collapsed="false">
      <c r="A73" s="22" t="s">
        <v>288</v>
      </c>
      <c r="B73" s="22"/>
      <c r="C73" s="22"/>
      <c r="D73" s="22"/>
      <c r="E73" s="22"/>
      <c r="F73" s="22"/>
      <c r="G73" s="22"/>
      <c r="H73" s="22"/>
    </row>
    <row r="74" customFormat="false" ht="15" hidden="false" customHeight="true" outlineLevel="0" collapsed="false">
      <c r="A74" s="22" t="s">
        <v>289</v>
      </c>
      <c r="B74" s="22"/>
      <c r="C74" s="22"/>
      <c r="D74" s="22"/>
      <c r="E74" s="22"/>
      <c r="F74" s="22"/>
      <c r="G74" s="22"/>
      <c r="H74" s="22"/>
    </row>
    <row r="75" customFormat="false" ht="15" hidden="false" customHeight="true" outlineLevel="0" collapsed="false">
      <c r="A75" s="22" t="s">
        <v>290</v>
      </c>
      <c r="B75" s="22"/>
      <c r="C75" s="22"/>
      <c r="D75" s="22"/>
      <c r="E75" s="22"/>
      <c r="F75" s="22"/>
      <c r="G75" s="22"/>
      <c r="H75" s="22"/>
    </row>
  </sheetData>
  <mergeCells count="21">
    <mergeCell ref="A1:H1"/>
    <mergeCell ref="A2:H2"/>
    <mergeCell ref="A6:H6"/>
    <mergeCell ref="A13:H13"/>
    <mergeCell ref="A28:H28"/>
    <mergeCell ref="A36:H36"/>
    <mergeCell ref="A45:H45"/>
    <mergeCell ref="A51:H51"/>
    <mergeCell ref="A52:H52"/>
    <mergeCell ref="A64:H64"/>
    <mergeCell ref="A65:H65"/>
    <mergeCell ref="A66:H66"/>
    <mergeCell ref="A67:H67"/>
    <mergeCell ref="A68:H68"/>
    <mergeCell ref="A69:H69"/>
    <mergeCell ref="A70:H70"/>
    <mergeCell ref="A71:H71"/>
    <mergeCell ref="A72:H72"/>
    <mergeCell ref="A73:H73"/>
    <mergeCell ref="A74:H74"/>
    <mergeCell ref="A75:H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0"/>
    <col collapsed="false" customWidth="true" hidden="false" outlineLevel="0" max="8" min="3" style="1" width="14"/>
  </cols>
  <sheetData>
    <row r="1" customFormat="false" ht="17.25" hidden="false" customHeight="true" outlineLevel="0" collapsed="false">
      <c r="A1" s="2" t="s">
        <v>291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292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3" t="s">
        <v>293</v>
      </c>
      <c r="B4" s="23" t="s">
        <v>294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</row>
    <row r="6" customFormat="false" ht="15" hidden="false" customHeight="true" outlineLevel="0" collapsed="false">
      <c r="A6" s="5" t="s">
        <v>295</v>
      </c>
      <c r="B6" s="5"/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29" t="s">
        <v>296</v>
      </c>
      <c r="B7" s="61" t="s">
        <v>297</v>
      </c>
      <c r="C7" s="62" t="n">
        <f aca="false">'Operacional Puro'!C43</f>
        <v>0.452425914116304</v>
      </c>
      <c r="D7" s="62" t="n">
        <f aca="false">'Operacional Puro'!D43</f>
        <v>0.457387542227227</v>
      </c>
      <c r="E7" s="62" t="n">
        <f aca="false">'Operacional Puro'!E43</f>
        <v>0.458818492476039</v>
      </c>
      <c r="F7" s="62" t="n">
        <f aca="false">'Operacional Puro'!F43</f>
        <v>0.452202246686836</v>
      </c>
      <c r="G7" s="62" t="n">
        <f aca="false">'Operacional Puro'!G43</f>
        <v>0.570850023164187</v>
      </c>
      <c r="H7" s="62" t="n">
        <f aca="false">'Operacional Puro'!H43</f>
        <v>0.536455681114353</v>
      </c>
    </row>
    <row r="8" customFormat="false" ht="15" hidden="false" customHeight="true" outlineLevel="0" collapsed="false">
      <c r="A8" s="63" t="s">
        <v>298</v>
      </c>
      <c r="C8" s="64" t="str">
        <f aca="false">IF(C7=0,"-",IF(C7&lt;=0.5,"PASSA",IF(C7&lt;=0.65,"APERTADO","FALHA")))</f>
        <v>PASSA</v>
      </c>
      <c r="D8" s="64" t="str">
        <f aca="false">IF(D7=0,"-",IF(D7&lt;=0.5,"PASSA",IF(D7&lt;=0.65,"APERTADO","FALHA")))</f>
        <v>PASSA</v>
      </c>
      <c r="E8" s="64" t="str">
        <f aca="false">IF(E7=0,"-",IF(E7&lt;=0.5,"PASSA",IF(E7&lt;=0.65,"APERTADO","FALHA")))</f>
        <v>PASSA</v>
      </c>
      <c r="F8" s="64" t="str">
        <f aca="false">IF(F7=0,"-",IF(F7&lt;=0.5,"PASSA",IF(F7&lt;=0.65,"APERTADO","FALHA")))</f>
        <v>PASSA</v>
      </c>
      <c r="G8" s="64" t="str">
        <f aca="false">IF(G7=0,"-",IF(G7&lt;=0.5,"PASSA",IF(G7&lt;=0.65,"APERTADO","FALHA")))</f>
        <v>APERTADO</v>
      </c>
      <c r="H8" s="64" t="str">
        <f aca="false">IF(H7=0,"-",IF(H7&lt;=0.5,"PASSA",IF(H7&lt;=0.65,"APERTADO","FALHA")))</f>
        <v>APERTADO</v>
      </c>
    </row>
    <row r="10" customFormat="false" ht="15" hidden="false" customHeight="true" outlineLevel="0" collapsed="false">
      <c r="A10" s="29" t="s">
        <v>299</v>
      </c>
      <c r="B10" s="61" t="s">
        <v>300</v>
      </c>
      <c r="C10" s="62" t="n">
        <f aca="false">'Operacional Puro'!C34</f>
        <v>0.156671599190158</v>
      </c>
      <c r="D10" s="62" t="n">
        <f aca="false">'Operacional Puro'!D34</f>
        <v>0.231679804026156</v>
      </c>
      <c r="E10" s="62" t="n">
        <f aca="false">'Operacional Puro'!E34</f>
        <v>0.190075567941542</v>
      </c>
      <c r="F10" s="62" t="n">
        <f aca="false">'Operacional Puro'!F34</f>
        <v>0.186178337023735</v>
      </c>
      <c r="G10" s="62" t="n">
        <f aca="false">'Operacional Puro'!G34</f>
        <v>0.0684602170463817</v>
      </c>
      <c r="H10" s="62" t="n">
        <f aca="false">'Operacional Puro'!H34</f>
        <v>0.102155270942204</v>
      </c>
    </row>
    <row r="11" customFormat="false" ht="15" hidden="false" customHeight="true" outlineLevel="0" collapsed="false">
      <c r="A11" s="63" t="s">
        <v>298</v>
      </c>
      <c r="C11" s="64" t="str">
        <f aca="false">IF(C10=0,"-",IF(C10&gt;=0.1,"PASSA",IF(C10&gt;=0.05,"APERTADO","FALHA")))</f>
        <v>PASSA</v>
      </c>
      <c r="D11" s="64" t="str">
        <f aca="false">IF(D10=0,"-",IF(D10&gt;=0.1,"PASSA",IF(D10&gt;=0.05,"APERTADO","FALHA")))</f>
        <v>PASSA</v>
      </c>
      <c r="E11" s="64" t="str">
        <f aca="false">IF(E10=0,"-",IF(E10&gt;=0.1,"PASSA",IF(E10&gt;=0.05,"APERTADO","FALHA")))</f>
        <v>PASSA</v>
      </c>
      <c r="F11" s="64" t="str">
        <f aca="false">IF(F10=0,"-",IF(F10&gt;=0.1,"PASSA",IF(F10&gt;=0.05,"APERTADO","FALHA")))</f>
        <v>PASSA</v>
      </c>
      <c r="G11" s="64" t="str">
        <f aca="false">IF(G10=0,"-",IF(G10&gt;=0.1,"PASSA",IF(G10&gt;=0.05,"APERTADO","FALHA")))</f>
        <v>APERTADO</v>
      </c>
      <c r="H11" s="64" t="str">
        <f aca="false">IF(H10=0,"-",IF(H10&gt;=0.1,"PASSA",IF(H10&gt;=0.05,"APERTADO","FALHA")))</f>
        <v>PASSA</v>
      </c>
    </row>
    <row r="13" customFormat="false" ht="15" hidden="false" customHeight="true" outlineLevel="0" collapsed="false">
      <c r="A13" s="29" t="s">
        <v>301</v>
      </c>
      <c r="B13" s="61" t="s">
        <v>302</v>
      </c>
      <c r="C13" s="62" t="n">
        <f aca="false">'Operacional Puro'!C49</f>
        <v>1.73227047416217</v>
      </c>
      <c r="D13" s="62" t="n">
        <f aca="false">'Operacional Puro'!D49</f>
        <v>0.897911978200486</v>
      </c>
      <c r="E13" s="62" t="n">
        <f aca="false">'Operacional Puro'!E49</f>
        <v>3.86284735156075</v>
      </c>
      <c r="F13" s="62" t="n">
        <f aca="false">'Operacional Puro'!F49</f>
        <v>3.86284735156075</v>
      </c>
      <c r="G13" s="62" t="n">
        <f aca="false">'Operacional Puro'!G49</f>
        <v>1.2252839085401</v>
      </c>
      <c r="H13" s="62" t="n">
        <f aca="false">'Operacional Puro'!H49</f>
        <v>1.2252839085401</v>
      </c>
    </row>
    <row r="14" customFormat="false" ht="15" hidden="false" customHeight="true" outlineLevel="0" collapsed="false">
      <c r="A14" s="63" t="s">
        <v>298</v>
      </c>
      <c r="C14" s="64" t="str">
        <f aca="false">IF(C13=0,"-",IF(C13&lt;=1,"PASSA",IF(C13&lt;=1.5,"APERTADO","FALHA")))</f>
        <v>FALHA</v>
      </c>
      <c r="D14" s="64" t="str">
        <f aca="false">IF(D13=0,"-",IF(D13&lt;=1,"PASSA",IF(D13&lt;=1.5,"APERTADO","FALHA")))</f>
        <v>PASSA</v>
      </c>
      <c r="E14" s="64" t="str">
        <f aca="false">IF(E13=0,"-",IF(E13&lt;=1,"PASSA",IF(E13&lt;=1.5,"APERTADO","FALHA")))</f>
        <v>FALHA</v>
      </c>
      <c r="F14" s="64" t="str">
        <f aca="false">IF(F13=0,"-",IF(F13&lt;=1,"PASSA",IF(F13&lt;=1.5,"APERTADO","FALHA")))</f>
        <v>FALHA</v>
      </c>
      <c r="G14" s="64" t="str">
        <f aca="false">IF(G13=0,"-",IF(G13&lt;=1,"PASSA",IF(G13&lt;=1.5,"APERTADO","FALHA")))</f>
        <v>APERTADO</v>
      </c>
      <c r="H14" s="64" t="str">
        <f aca="false">IF(H13=0,"-",IF(H13&lt;=1,"PASSA",IF(H13&lt;=1.5,"APERTADO","FALHA")))</f>
        <v>APERTADO</v>
      </c>
    </row>
    <row r="16" customFormat="false" ht="15" hidden="false" customHeight="true" outlineLevel="0" collapsed="false">
      <c r="A16" s="29" t="s">
        <v>303</v>
      </c>
      <c r="B16" s="61" t="s">
        <v>304</v>
      </c>
      <c r="C16" s="65" t="n">
        <f aca="false">(BP!C7+BP!C8)/((-DRE!C9-DRE!C14-DRE!C15)/12)</f>
        <v>3.50562819366267</v>
      </c>
      <c r="D16" s="65" t="n">
        <f aca="false">(BP!D7+BP!D8)/((-DRE!D9-DRE!D14-DRE!D15)/12)</f>
        <v>3.28146676165123</v>
      </c>
      <c r="E16" s="65" t="n">
        <f aca="false">(BP!E7+BP!E8)/((-DRE!E9-DRE!E14-DRE!E15)/12)</f>
        <v>1.18820886488089</v>
      </c>
      <c r="F16" s="65" t="n">
        <f aca="false">(BP!F7+BP!F8)/((-DRE!F9-DRE!F14-DRE!F15)/12)</f>
        <v>1.39957244983449</v>
      </c>
      <c r="G16" s="65" t="n">
        <f aca="false">(BP!G7+BP!G8)/((-DRE!G9-DRE!G14-DRE!G15)/12)</f>
        <v>1.75887034243158</v>
      </c>
      <c r="H16" s="65" t="n">
        <f aca="false">(BP!H7+BP!H8)/((-DRE!H9-DRE!H14-DRE!H15)/12)</f>
        <v>2.11773579969697</v>
      </c>
    </row>
    <row r="17" customFormat="false" ht="15" hidden="false" customHeight="true" outlineLevel="0" collapsed="false">
      <c r="A17" s="63" t="s">
        <v>298</v>
      </c>
      <c r="C17" s="64" t="str">
        <f aca="false">IF(C16=0,"-",IF(C16&gt;=2,"PASSA",IF(C16&gt;=1,"APERTADO","FALHA")))</f>
        <v>PASSA</v>
      </c>
      <c r="D17" s="64" t="str">
        <f aca="false">IF(D16=0,"-",IF(D16&gt;=2,"PASSA",IF(D16&gt;=1,"APERTADO","FALHA")))</f>
        <v>PASSA</v>
      </c>
      <c r="E17" s="64" t="str">
        <f aca="false">IF(E16=0,"-",IF(E16&gt;=2,"PASSA",IF(E16&gt;=1,"APERTADO","FALHA")))</f>
        <v>APERTADO</v>
      </c>
      <c r="F17" s="64" t="str">
        <f aca="false">IF(F16=0,"-",IF(F16&gt;=2,"PASSA",IF(F16&gt;=1,"APERTADO","FALHA")))</f>
        <v>APERTADO</v>
      </c>
      <c r="G17" s="64" t="str">
        <f aca="false">IF(G16=0,"-",IF(G16&gt;=2,"PASSA",IF(G16&gt;=1,"APERTADO","FALHA")))</f>
        <v>APERTADO</v>
      </c>
      <c r="H17" s="64" t="str">
        <f aca="false">IF(H16=0,"-",IF(H16&gt;=2,"PASSA",IF(H16&gt;=1,"APERTADO","FALHA")))</f>
        <v>PASSA</v>
      </c>
    </row>
    <row r="19" customFormat="false" ht="15" hidden="false" customHeight="true" outlineLevel="0" collapsed="false">
      <c r="A19" s="5" t="s">
        <v>305</v>
      </c>
      <c r="B19" s="5"/>
      <c r="C19" s="5"/>
      <c r="D19" s="5"/>
      <c r="E19" s="5"/>
      <c r="F19" s="5"/>
      <c r="G19" s="5"/>
      <c r="H19" s="5"/>
    </row>
    <row r="20" customFormat="false" ht="15" hidden="false" customHeight="true" outlineLevel="0" collapsed="false">
      <c r="A20" s="7" t="s">
        <v>255</v>
      </c>
      <c r="B20" s="66" t="s">
        <v>306</v>
      </c>
      <c r="C20" s="40" t="n">
        <f aca="false">DRE!C6</f>
        <v>979078</v>
      </c>
      <c r="D20" s="40" t="n">
        <f aca="false">DRE!D6</f>
        <v>1012380</v>
      </c>
      <c r="E20" s="40" t="n">
        <f aca="false">DRE!E6</f>
        <v>1142151</v>
      </c>
      <c r="F20" s="40" t="n">
        <f aca="false">DRE!F6</f>
        <v>1158862</v>
      </c>
      <c r="G20" s="40" t="n">
        <f aca="false">DRE!G6</f>
        <v>1393755</v>
      </c>
      <c r="H20" s="40" t="n">
        <f aca="false">DRE!H6</f>
        <v>1499741</v>
      </c>
    </row>
    <row r="21" customFormat="false" ht="15" hidden="false" customHeight="true" outlineLevel="0" collapsed="false">
      <c r="A21" s="7" t="s">
        <v>307</v>
      </c>
      <c r="B21" s="66" t="s">
        <v>306</v>
      </c>
      <c r="C21" s="40" t="n">
        <f aca="false">'Receita Detalhada'!C56</f>
        <v>10000</v>
      </c>
      <c r="D21" s="40" t="n">
        <f aca="false">'Receita Detalhada'!D56</f>
        <v>0</v>
      </c>
      <c r="E21" s="40" t="n">
        <f aca="false">'Receita Detalhada'!E56</f>
        <v>0</v>
      </c>
      <c r="F21" s="40" t="n">
        <f aca="false">'Receita Detalhada'!F56</f>
        <v>0</v>
      </c>
      <c r="G21" s="40" t="n">
        <f aca="false">'Receita Detalhada'!G56</f>
        <v>174200</v>
      </c>
      <c r="H21" s="40" t="n">
        <f aca="false">'Receita Detalhada'!H56</f>
        <v>174200</v>
      </c>
    </row>
    <row r="22" customFormat="false" ht="15" hidden="false" customHeight="true" outlineLevel="0" collapsed="false">
      <c r="A22" s="67" t="s">
        <v>308</v>
      </c>
      <c r="B22" s="68" t="s">
        <v>306</v>
      </c>
      <c r="C22" s="12" t="n">
        <f aca="false">'Operacional Puro'!C31</f>
        <v>969078</v>
      </c>
      <c r="D22" s="12" t="n">
        <f aca="false">'Operacional Puro'!D31</f>
        <v>1012380</v>
      </c>
      <c r="E22" s="12" t="n">
        <f aca="false">'Operacional Puro'!E31</f>
        <v>1142151</v>
      </c>
      <c r="F22" s="12" t="n">
        <f aca="false">'Operacional Puro'!F31</f>
        <v>1158862</v>
      </c>
      <c r="G22" s="12" t="n">
        <f aca="false">'Operacional Puro'!G31</f>
        <v>1219555</v>
      </c>
      <c r="H22" s="12" t="n">
        <f aca="false">'Operacional Puro'!H31</f>
        <v>1325541</v>
      </c>
    </row>
    <row r="23" customFormat="false" ht="15" hidden="false" customHeight="true" outlineLevel="0" collapsed="false">
      <c r="A23" s="63" t="s">
        <v>309</v>
      </c>
      <c r="B23" s="66" t="s">
        <v>310</v>
      </c>
      <c r="C23" s="69" t="s">
        <v>311</v>
      </c>
      <c r="D23" s="70" t="n">
        <f aca="false">IFERROR(D22/C22-1,0)</f>
        <v>0.0446837096704289</v>
      </c>
      <c r="E23" s="70" t="n">
        <f aca="false">IFERROR(E22/D22-1,0)</f>
        <v>0.128184081076276</v>
      </c>
      <c r="F23" s="70" t="n">
        <f aca="false">IFERROR(F22/D22-1,0)</f>
        <v>0.144690728777732</v>
      </c>
      <c r="G23" s="70" t="n">
        <f aca="false">IFERROR(G22/E22-1,0)</f>
        <v>0.0677703736196003</v>
      </c>
      <c r="H23" s="70" t="n">
        <f aca="false">IFERROR(H22/F22-1,0)</f>
        <v>0.143829895190281</v>
      </c>
    </row>
    <row r="25" customFormat="false" ht="15" hidden="false" customHeight="true" outlineLevel="0" collapsed="false">
      <c r="A25" s="5" t="s">
        <v>312</v>
      </c>
      <c r="B25" s="5"/>
      <c r="C25" s="5"/>
      <c r="D25" s="5"/>
      <c r="E25" s="5"/>
      <c r="F25" s="5"/>
      <c r="G25" s="5"/>
      <c r="H25" s="5"/>
    </row>
    <row r="26" customFormat="false" ht="15" hidden="false" customHeight="true" outlineLevel="0" collapsed="false">
      <c r="A26" s="7" t="s">
        <v>313</v>
      </c>
      <c r="B26" s="66" t="s">
        <v>306</v>
      </c>
      <c r="C26" s="40" t="n">
        <f aca="false">DRE!C28</f>
        <v>135690</v>
      </c>
      <c r="D26" s="40" t="n">
        <f aca="false">DRE!D28</f>
        <v>319545</v>
      </c>
      <c r="E26" s="40" t="n">
        <f aca="false">DRE!E28</f>
        <v>-734</v>
      </c>
      <c r="F26" s="40" t="n">
        <f aca="false">DRE!F28</f>
        <v>-2601</v>
      </c>
      <c r="G26" s="40" t="n">
        <f aca="false">DRE!G28</f>
        <v>335665</v>
      </c>
      <c r="H26" s="40" t="n">
        <f aca="false">DRE!H28</f>
        <v>343171</v>
      </c>
    </row>
    <row r="27" customFormat="false" ht="15" hidden="false" customHeight="true" outlineLevel="0" collapsed="false">
      <c r="A27" s="7" t="s">
        <v>314</v>
      </c>
      <c r="B27" s="66" t="s">
        <v>306</v>
      </c>
      <c r="C27" s="40" t="n">
        <f aca="false">'Operacional Puro'!C11</f>
        <v>286332</v>
      </c>
      <c r="D27" s="40" t="n">
        <f aca="false">'Operacional Puro'!D11</f>
        <v>475159</v>
      </c>
      <c r="E27" s="40" t="n">
        <f aca="false">'Operacional Puro'!E11</f>
        <v>269021</v>
      </c>
      <c r="F27" s="40" t="n">
        <f aca="false">'Operacional Puro'!F11</f>
        <v>271146</v>
      </c>
      <c r="G27" s="40" t="n">
        <f aca="false">'Operacional Puro'!G11</f>
        <v>569246</v>
      </c>
      <c r="H27" s="40" t="n">
        <f aca="false">'Operacional Puro'!H11</f>
        <v>607227</v>
      </c>
    </row>
    <row r="28" customFormat="false" ht="15" hidden="false" customHeight="true" outlineLevel="0" collapsed="false">
      <c r="A28" s="67" t="s">
        <v>315</v>
      </c>
      <c r="B28" s="68" t="s">
        <v>306</v>
      </c>
      <c r="C28" s="12" t="n">
        <f aca="false">'Operacional Puro'!C26</f>
        <v>151827</v>
      </c>
      <c r="D28" s="12" t="n">
        <f aca="false">'Operacional Puro'!D26</f>
        <v>234548</v>
      </c>
      <c r="E28" s="12" t="n">
        <f aca="false">'Operacional Puro'!E26</f>
        <v>217095</v>
      </c>
      <c r="F28" s="12" t="n">
        <f aca="false">'Operacional Puro'!F26</f>
        <v>215755</v>
      </c>
      <c r="G28" s="12" t="n">
        <f aca="false">'Operacional Puro'!G26</f>
        <v>83491</v>
      </c>
      <c r="H28" s="12" t="n">
        <f aca="false">'Operacional Puro'!H26</f>
        <v>135411</v>
      </c>
    </row>
    <row r="29" customFormat="false" ht="15" hidden="false" customHeight="true" outlineLevel="0" collapsed="false">
      <c r="A29" s="7" t="s">
        <v>316</v>
      </c>
      <c r="B29" s="66" t="s">
        <v>310</v>
      </c>
      <c r="C29" s="71" t="n">
        <f aca="false">'Operacional Puro'!C33</f>
        <v>0.292450652552708</v>
      </c>
      <c r="D29" s="71" t="n">
        <f aca="false">'Operacional Puro'!D33</f>
        <v>0.469348465991031</v>
      </c>
      <c r="E29" s="71" t="n">
        <f aca="false">'Operacional Puro'!E33</f>
        <v>0.235538908603153</v>
      </c>
      <c r="F29" s="71" t="n">
        <f aca="false">'Operacional Puro'!F33</f>
        <v>0.233976090336899</v>
      </c>
      <c r="G29" s="71" t="n">
        <f aca="false">'Operacional Puro'!G33</f>
        <v>0.408426158112437</v>
      </c>
      <c r="H29" s="71" t="n">
        <f aca="false">'Operacional Puro'!H33</f>
        <v>0.404887910645905</v>
      </c>
    </row>
    <row r="30" customFormat="false" ht="15" hidden="false" customHeight="true" outlineLevel="0" collapsed="false">
      <c r="A30" s="67" t="s">
        <v>317</v>
      </c>
      <c r="B30" s="68" t="s">
        <v>310</v>
      </c>
      <c r="C30" s="72" t="n">
        <f aca="false">'Operacional Puro'!C34</f>
        <v>0.156671599190158</v>
      </c>
      <c r="D30" s="72" t="n">
        <f aca="false">'Operacional Puro'!D34</f>
        <v>0.231679804026156</v>
      </c>
      <c r="E30" s="72" t="n">
        <f aca="false">'Operacional Puro'!E34</f>
        <v>0.190075567941542</v>
      </c>
      <c r="F30" s="72" t="n">
        <f aca="false">'Operacional Puro'!F34</f>
        <v>0.186178337023735</v>
      </c>
      <c r="G30" s="72" t="n">
        <f aca="false">'Operacional Puro'!G34</f>
        <v>0.0684602170463817</v>
      </c>
      <c r="H30" s="72" t="n">
        <f aca="false">'Operacional Puro'!H34</f>
        <v>0.102155270942204</v>
      </c>
    </row>
    <row r="32" customFormat="false" ht="15" hidden="false" customHeight="true" outlineLevel="0" collapsed="false">
      <c r="A32" s="5" t="s">
        <v>318</v>
      </c>
      <c r="B32" s="5"/>
      <c r="C32" s="5"/>
      <c r="D32" s="5"/>
      <c r="E32" s="5"/>
      <c r="F32" s="5"/>
      <c r="G32" s="5"/>
      <c r="H32" s="5"/>
    </row>
    <row r="33" customFormat="false" ht="15" hidden="false" customHeight="true" outlineLevel="0" collapsed="false">
      <c r="A33" s="7" t="s">
        <v>319</v>
      </c>
      <c r="B33" s="66" t="s">
        <v>306</v>
      </c>
      <c r="C33" s="40" t="n">
        <f aca="false">BP!C7</f>
        <v>236887</v>
      </c>
      <c r="D33" s="40" t="n">
        <f aca="false">BP!D7</f>
        <v>234487</v>
      </c>
      <c r="E33" s="40" t="n">
        <f aca="false">BP!E7</f>
        <v>70557</v>
      </c>
      <c r="F33" s="40" t="n">
        <f aca="false">BP!F7</f>
        <v>91841</v>
      </c>
      <c r="G33" s="40" t="n">
        <f aca="false">BP!G7</f>
        <v>143941</v>
      </c>
      <c r="H33" s="40" t="n">
        <f aca="false">BP!H7</f>
        <v>191714</v>
      </c>
    </row>
    <row r="34" customFormat="false" ht="15" hidden="false" customHeight="true" outlineLevel="0" collapsed="false">
      <c r="A34" s="7" t="s">
        <v>320</v>
      </c>
      <c r="B34" s="66" t="s">
        <v>306</v>
      </c>
      <c r="C34" s="40" t="n">
        <f aca="false">BP!C8</f>
        <v>17581</v>
      </c>
      <c r="D34" s="40" t="n">
        <f aca="false">BP!D8</f>
        <v>28073</v>
      </c>
      <c r="E34" s="40" t="n">
        <f aca="false">BP!E8</f>
        <v>41662</v>
      </c>
      <c r="F34" s="40" t="n">
        <f aca="false">BP!F8</f>
        <v>41662</v>
      </c>
      <c r="G34" s="40" t="n">
        <f aca="false">BP!G8</f>
        <v>51140</v>
      </c>
      <c r="H34" s="40" t="n">
        <f aca="false">BP!H8</f>
        <v>51140</v>
      </c>
    </row>
    <row r="35" customFormat="false" ht="15" hidden="false" customHeight="true" outlineLevel="0" collapsed="false">
      <c r="A35" s="67" t="s">
        <v>321</v>
      </c>
      <c r="B35" s="68" t="s">
        <v>306</v>
      </c>
      <c r="C35" s="12" t="n">
        <f aca="false">IFERROR(C33+C34,0)</f>
        <v>254468</v>
      </c>
      <c r="D35" s="12" t="n">
        <f aca="false">IFERROR(D33+D34,0)</f>
        <v>262560</v>
      </c>
      <c r="E35" s="12" t="n">
        <f aca="false">IFERROR(E33+E34,0)</f>
        <v>112219</v>
      </c>
      <c r="F35" s="12" t="n">
        <f aca="false">IFERROR(F33+F34,0)</f>
        <v>133503</v>
      </c>
      <c r="G35" s="12" t="n">
        <f aca="false">IFERROR(G33+G34,0)</f>
        <v>195081</v>
      </c>
      <c r="H35" s="12" t="n">
        <f aca="false">IFERROR(H33+H34,0)</f>
        <v>242854</v>
      </c>
    </row>
    <row r="36" customFormat="false" ht="15" hidden="false" customHeight="true" outlineLevel="0" collapsed="false">
      <c r="A36" s="7" t="s">
        <v>322</v>
      </c>
      <c r="B36" s="66" t="s">
        <v>306</v>
      </c>
      <c r="C36" s="9" t="n">
        <v>214539</v>
      </c>
      <c r="D36" s="9" t="n">
        <v>234229</v>
      </c>
      <c r="E36" s="9" t="n">
        <v>369280</v>
      </c>
      <c r="F36" s="9" t="n">
        <v>369280</v>
      </c>
      <c r="G36" s="9" t="n">
        <v>561080</v>
      </c>
      <c r="H36" s="9" t="n">
        <v>497310</v>
      </c>
    </row>
    <row r="37" customFormat="false" ht="15" hidden="false" customHeight="true" outlineLevel="0" collapsed="false">
      <c r="A37" s="7" t="s">
        <v>323</v>
      </c>
      <c r="B37" s="66" t="s">
        <v>306</v>
      </c>
      <c r="C37" s="9" t="n">
        <v>90855</v>
      </c>
      <c r="D37" s="9" t="n">
        <v>177619</v>
      </c>
      <c r="E37" s="9" t="n">
        <v>149033</v>
      </c>
      <c r="F37" s="9" t="n">
        <v>149033</v>
      </c>
      <c r="G37" s="9" t="n">
        <v>278998</v>
      </c>
      <c r="H37" s="9" t="n">
        <v>278998</v>
      </c>
    </row>
    <row r="38" customFormat="false" ht="15" hidden="false" customHeight="true" outlineLevel="0" collapsed="false">
      <c r="A38" s="7" t="s">
        <v>324</v>
      </c>
      <c r="B38" s="66" t="s">
        <v>306</v>
      </c>
      <c r="C38" s="9" t="n">
        <v>210000</v>
      </c>
      <c r="D38" s="9" t="n">
        <v>167152</v>
      </c>
      <c r="E38" s="9" t="n">
        <v>165358</v>
      </c>
      <c r="F38" s="9" t="n">
        <v>165358</v>
      </c>
      <c r="G38" s="9" t="n">
        <v>162316</v>
      </c>
      <c r="H38" s="9" t="n">
        <v>162316</v>
      </c>
    </row>
    <row r="39" customFormat="false" ht="15" hidden="false" customHeight="true" outlineLevel="0" collapsed="false">
      <c r="A39" s="7" t="s">
        <v>325</v>
      </c>
      <c r="B39" s="66" t="s">
        <v>306</v>
      </c>
      <c r="C39" s="40" t="n">
        <f aca="false">BP!C33+BP!C42</f>
        <v>35948</v>
      </c>
      <c r="D39" s="40" t="n">
        <f aca="false">BP!D33+BP!D42</f>
        <v>0</v>
      </c>
      <c r="E39" s="40" t="n">
        <f aca="false">BP!E33+BP!E42</f>
        <v>0</v>
      </c>
      <c r="F39" s="40" t="n">
        <f aca="false">BP!F33+BP!F42</f>
        <v>0</v>
      </c>
      <c r="G39" s="40" t="n">
        <f aca="false">BP!G33+BP!G42</f>
        <v>0</v>
      </c>
      <c r="H39" s="40" t="n">
        <f aca="false">BP!H33+BP!H42</f>
        <v>0</v>
      </c>
    </row>
    <row r="41" customFormat="false" ht="15" hidden="false" customHeight="true" outlineLevel="0" collapsed="false">
      <c r="A41" s="10" t="s">
        <v>326</v>
      </c>
      <c r="B41" s="68" t="s">
        <v>306</v>
      </c>
      <c r="C41" s="12" t="n">
        <f aca="false">C39+C38+C36-C37-C33</f>
        <v>132745</v>
      </c>
      <c r="D41" s="12" t="n">
        <f aca="false">D39+D38+D36-D37-D33</f>
        <v>-10725</v>
      </c>
      <c r="E41" s="12" t="n">
        <f aca="false">E39+E38+E36-E37-E33</f>
        <v>315048</v>
      </c>
      <c r="F41" s="12" t="n">
        <f aca="false">F39+F38+F36-F37-F33</f>
        <v>293764</v>
      </c>
      <c r="G41" s="12" t="n">
        <f aca="false">G39+G38+G36-G37-G33</f>
        <v>300457</v>
      </c>
      <c r="H41" s="12" t="n">
        <f aca="false">H39+H38+H36-H37-H33</f>
        <v>188914</v>
      </c>
    </row>
    <row r="42" customFormat="false" ht="15" hidden="false" customHeight="true" outlineLevel="0" collapsed="false">
      <c r="A42" s="50" t="s">
        <v>327</v>
      </c>
      <c r="B42" s="73" t="s">
        <v>328</v>
      </c>
      <c r="C42" s="74" t="n">
        <f aca="false">IFERROR(C41/C27,0)</f>
        <v>0.463605185588757</v>
      </c>
      <c r="D42" s="74" t="n">
        <f aca="false">IFERROR(D41/D27,0)</f>
        <v>-0.0225713918919772</v>
      </c>
      <c r="E42" s="74" t="n">
        <f aca="false">IFERROR(E41/E27,0)</f>
        <v>1.17109073269373</v>
      </c>
      <c r="F42" s="74" t="n">
        <f aca="false">IFERROR(F41/F27,0)</f>
        <v>1.08341631445789</v>
      </c>
      <c r="G42" s="74" t="n">
        <f aca="false">IFERROR(G41/G27,0)</f>
        <v>0.527815742227438</v>
      </c>
      <c r="H42" s="74" t="n">
        <f aca="false">IFERROR(H41/H27,0)</f>
        <v>0.311109354491813</v>
      </c>
    </row>
    <row r="44" customFormat="false" ht="15" hidden="false" customHeight="true" outlineLevel="0" collapsed="false">
      <c r="A44" s="5" t="s">
        <v>329</v>
      </c>
      <c r="B44" s="5"/>
      <c r="C44" s="5"/>
      <c r="D44" s="5"/>
      <c r="E44" s="5"/>
      <c r="F44" s="5"/>
      <c r="G44" s="5"/>
      <c r="H44" s="5"/>
    </row>
    <row r="45" customFormat="false" ht="15" hidden="false" customHeight="true" outlineLevel="0" collapsed="false">
      <c r="A45" s="7" t="s">
        <v>330</v>
      </c>
      <c r="B45" s="66" t="s">
        <v>306</v>
      </c>
      <c r="C45" s="40" t="n">
        <f aca="false">BP!C14</f>
        <v>343558</v>
      </c>
      <c r="D45" s="40" t="n">
        <f aca="false">BP!D14</f>
        <v>455914</v>
      </c>
      <c r="E45" s="40" t="n">
        <f aca="false">BP!E14</f>
        <v>321870</v>
      </c>
      <c r="F45" s="40" t="n">
        <f aca="false">BP!F14</f>
        <v>347343</v>
      </c>
      <c r="G45" s="40" t="n">
        <f aca="false">BP!G14</f>
        <v>558966</v>
      </c>
      <c r="H45" s="40" t="n">
        <f aca="false">BP!H14</f>
        <v>604975</v>
      </c>
    </row>
    <row r="46" customFormat="false" ht="15" hidden="false" customHeight="true" outlineLevel="0" collapsed="false">
      <c r="A46" s="7" t="s">
        <v>331</v>
      </c>
      <c r="B46" s="66" t="s">
        <v>306</v>
      </c>
      <c r="C46" s="40" t="n">
        <f aca="false">BP!C38</f>
        <v>392167</v>
      </c>
      <c r="D46" s="40" t="n">
        <f aca="false">BP!D38</f>
        <v>375282</v>
      </c>
      <c r="E46" s="40" t="n">
        <f aca="false">BP!E38</f>
        <v>504785</v>
      </c>
      <c r="F46" s="40" t="n">
        <f aca="false">BP!F38</f>
        <v>529801</v>
      </c>
      <c r="G46" s="40" t="n">
        <f aca="false">BP!G38</f>
        <v>592332</v>
      </c>
      <c r="H46" s="40" t="n">
        <f aca="false">BP!H38</f>
        <v>646588</v>
      </c>
    </row>
    <row r="47" customFormat="false" ht="15" hidden="false" customHeight="true" outlineLevel="0" collapsed="false">
      <c r="A47" s="67" t="s">
        <v>332</v>
      </c>
      <c r="B47" s="68" t="s">
        <v>306</v>
      </c>
      <c r="C47" s="12" t="n">
        <f aca="false">IFERROR(C45-C46,0)</f>
        <v>-48609</v>
      </c>
      <c r="D47" s="12" t="n">
        <f aca="false">IFERROR(D45-D46,0)</f>
        <v>80632</v>
      </c>
      <c r="E47" s="12" t="n">
        <f aca="false">IFERROR(E45-E46,0)</f>
        <v>-182915</v>
      </c>
      <c r="F47" s="12" t="n">
        <f aca="false">IFERROR(F45-F46,0)</f>
        <v>-182458</v>
      </c>
      <c r="G47" s="12" t="n">
        <f aca="false">IFERROR(G45-G46,0)</f>
        <v>-33366</v>
      </c>
      <c r="H47" s="12" t="n">
        <f aca="false">IFERROR(H45-H46,0)</f>
        <v>-41613</v>
      </c>
    </row>
    <row r="48" customFormat="false" ht="15" hidden="false" customHeight="true" outlineLevel="0" collapsed="false">
      <c r="A48" s="7" t="s">
        <v>333</v>
      </c>
      <c r="B48" s="66" t="s">
        <v>328</v>
      </c>
      <c r="C48" s="75" t="n">
        <f aca="false">IFERROR(C45/C46,0)</f>
        <v>0.876050254100932</v>
      </c>
      <c r="D48" s="75" t="n">
        <f aca="false">IFERROR(D45/D46,0)</f>
        <v>1.21485709413188</v>
      </c>
      <c r="E48" s="75" t="n">
        <f aca="false">IFERROR(E45/E46,0)</f>
        <v>0.637637806194717</v>
      </c>
      <c r="F48" s="75" t="n">
        <f aca="false">IFERROR(F45/F46,0)</f>
        <v>0.655610314061317</v>
      </c>
      <c r="G48" s="75" t="n">
        <f aca="false">IFERROR(G45/G46,0)</f>
        <v>0.943670103928202</v>
      </c>
      <c r="H48" s="75" t="n">
        <f aca="false">IFERROR(H45/H46,0)</f>
        <v>0.935642170903265</v>
      </c>
    </row>
    <row r="50" customFormat="false" ht="15" hidden="false" customHeight="true" outlineLevel="0" collapsed="false">
      <c r="A50" s="5" t="s">
        <v>334</v>
      </c>
      <c r="B50" s="5"/>
      <c r="C50" s="5"/>
      <c r="D50" s="5"/>
      <c r="E50" s="5"/>
      <c r="F50" s="5"/>
      <c r="G50" s="5"/>
      <c r="H50" s="5"/>
    </row>
    <row r="51" customFormat="false" ht="15" hidden="false" customHeight="true" outlineLevel="0" collapsed="false">
      <c r="A51" s="7" t="s">
        <v>335</v>
      </c>
      <c r="B51" s="66" t="s">
        <v>306</v>
      </c>
      <c r="C51" s="40" t="n">
        <f aca="false">'Operacional Puro'!C46</f>
        <v>231000</v>
      </c>
      <c r="D51" s="40" t="n">
        <f aca="false">'Operacional Puro'!D46</f>
        <v>272510</v>
      </c>
      <c r="E51" s="40" t="n">
        <f aca="false">'Operacional Puro'!E46</f>
        <v>414808</v>
      </c>
      <c r="F51" s="40" t="n">
        <f aca="false">'Operacional Puro'!F46</f>
        <v>414808</v>
      </c>
      <c r="G51" s="40" t="n">
        <f aca="false">'Operacional Puro'!G46</f>
        <v>635605</v>
      </c>
      <c r="H51" s="40" t="n">
        <f aca="false">'Operacional Puro'!H46</f>
        <v>635605</v>
      </c>
    </row>
    <row r="52" customFormat="false" ht="15" hidden="false" customHeight="true" outlineLevel="0" collapsed="false">
      <c r="A52" s="7" t="s">
        <v>336</v>
      </c>
      <c r="B52" s="66" t="s">
        <v>306</v>
      </c>
      <c r="C52" s="40" t="n">
        <f aca="false">'Operacional Puro'!C47</f>
        <v>133351</v>
      </c>
      <c r="D52" s="40" t="n">
        <f aca="false">'Operacional Puro'!D47</f>
        <v>303493</v>
      </c>
      <c r="E52" s="40" t="n">
        <f aca="false">'Operacional Puro'!E47</f>
        <v>107384</v>
      </c>
      <c r="F52" s="40" t="n">
        <f aca="false">'Operacional Puro'!F47</f>
        <v>107384</v>
      </c>
      <c r="G52" s="40" t="n">
        <f aca="false">'Operacional Puro'!G47</f>
        <v>518741</v>
      </c>
      <c r="H52" s="40" t="n">
        <f aca="false">'Operacional Puro'!H47</f>
        <v>518741</v>
      </c>
    </row>
    <row r="53" customFormat="false" ht="15" hidden="false" customHeight="true" outlineLevel="0" collapsed="false">
      <c r="A53" s="50" t="s">
        <v>337</v>
      </c>
      <c r="B53" s="73" t="s">
        <v>306</v>
      </c>
      <c r="C53" s="39" t="n">
        <f aca="false">IFERROR(C51-C52,0)</f>
        <v>97649</v>
      </c>
      <c r="D53" s="39" t="n">
        <f aca="false">IFERROR(D51-D52,0)</f>
        <v>-30983</v>
      </c>
      <c r="E53" s="39" t="n">
        <f aca="false">IFERROR(E51-E52,0)</f>
        <v>307424</v>
      </c>
      <c r="F53" s="39" t="n">
        <f aca="false">IFERROR(F51-F52,0)</f>
        <v>307424</v>
      </c>
      <c r="G53" s="39" t="n">
        <f aca="false">IFERROR(G51-G52,0)</f>
        <v>116864</v>
      </c>
      <c r="H53" s="39" t="n">
        <f aca="false">IFERROR(H51-H52,0)</f>
        <v>116864</v>
      </c>
    </row>
    <row r="54" customFormat="false" ht="15" hidden="false" customHeight="true" outlineLevel="0" collapsed="false">
      <c r="A54" s="7" t="s">
        <v>338</v>
      </c>
      <c r="B54" s="66" t="s">
        <v>328</v>
      </c>
      <c r="C54" s="71" t="n">
        <f aca="false">'Operacional Puro'!C49</f>
        <v>1.73227047416217</v>
      </c>
      <c r="D54" s="71" t="n">
        <f aca="false">'Operacional Puro'!D49</f>
        <v>0.897911978200486</v>
      </c>
      <c r="E54" s="71" t="n">
        <f aca="false">'Operacional Puro'!E49</f>
        <v>3.86284735156075</v>
      </c>
      <c r="F54" s="71" t="n">
        <f aca="false">'Operacional Puro'!F49</f>
        <v>3.86284735156075</v>
      </c>
      <c r="G54" s="71" t="n">
        <f aca="false">'Operacional Puro'!G49</f>
        <v>1.2252839085401</v>
      </c>
      <c r="H54" s="71" t="n">
        <f aca="false">'Operacional Puro'!H49</f>
        <v>1.2252839085401</v>
      </c>
    </row>
    <row r="56" customFormat="false" ht="15" hidden="false" customHeight="true" outlineLevel="0" collapsed="false">
      <c r="A56" s="5" t="s">
        <v>339</v>
      </c>
      <c r="B56" s="5"/>
      <c r="C56" s="5"/>
      <c r="D56" s="5"/>
      <c r="E56" s="5"/>
      <c r="F56" s="5"/>
      <c r="G56" s="5"/>
      <c r="H56" s="5"/>
    </row>
    <row r="57" customFormat="false" ht="15" hidden="false" customHeight="true" outlineLevel="0" collapsed="false">
      <c r="A57" s="7" t="s">
        <v>340</v>
      </c>
      <c r="B57" s="66" t="s">
        <v>306</v>
      </c>
      <c r="C57" s="40" t="n">
        <f aca="false">'Operacional Puro'!C40</f>
        <v>438436</v>
      </c>
      <c r="D57" s="40" t="n">
        <f aca="false">'Operacional Puro'!D40</f>
        <v>463050</v>
      </c>
      <c r="E57" s="40" t="n">
        <f aca="false">'Operacional Puro'!E40</f>
        <v>524040</v>
      </c>
      <c r="F57" s="40" t="n">
        <f aca="false">'Operacional Puro'!F40</f>
        <v>524040</v>
      </c>
      <c r="G57" s="40" t="n">
        <f aca="false">'Operacional Puro'!G40</f>
        <v>696183</v>
      </c>
      <c r="H57" s="40" t="n">
        <f aca="false">'Operacional Puro'!H40</f>
        <v>711094</v>
      </c>
    </row>
    <row r="58" customFormat="false" ht="15" hidden="false" customHeight="true" outlineLevel="0" collapsed="false">
      <c r="A58" s="7" t="s">
        <v>341</v>
      </c>
      <c r="B58" s="66" t="s">
        <v>310</v>
      </c>
      <c r="C58" s="71" t="n">
        <f aca="false">'Operacional Puro'!C42</f>
        <v>0.447804975701629</v>
      </c>
      <c r="D58" s="71" t="n">
        <f aca="false">'Operacional Puro'!D42</f>
        <v>0.457387542227227</v>
      </c>
      <c r="E58" s="71" t="n">
        <f aca="false">'Operacional Puro'!E42</f>
        <v>0.458818492476039</v>
      </c>
      <c r="F58" s="71" t="n">
        <f aca="false">'Operacional Puro'!F42</f>
        <v>0.452202246686836</v>
      </c>
      <c r="G58" s="71" t="n">
        <f aca="false">'Operacional Puro'!G42</f>
        <v>0.499501705823477</v>
      </c>
      <c r="H58" s="71" t="n">
        <f aca="false">'Operacional Puro'!H42</f>
        <v>0.474144535623151</v>
      </c>
    </row>
    <row r="59" customFormat="false" ht="15" hidden="false" customHeight="true" outlineLevel="0" collapsed="false">
      <c r="A59" s="50" t="s">
        <v>342</v>
      </c>
      <c r="B59" s="73" t="s">
        <v>310</v>
      </c>
      <c r="C59" s="76" t="n">
        <f aca="false">'Operacional Puro'!C43</f>
        <v>0.452425914116304</v>
      </c>
      <c r="D59" s="76" t="n">
        <f aca="false">'Operacional Puro'!D43</f>
        <v>0.457387542227227</v>
      </c>
      <c r="E59" s="76" t="n">
        <f aca="false">'Operacional Puro'!E43</f>
        <v>0.458818492476039</v>
      </c>
      <c r="F59" s="76" t="n">
        <f aca="false">'Operacional Puro'!F43</f>
        <v>0.452202246686836</v>
      </c>
      <c r="G59" s="76" t="n">
        <f aca="false">'Operacional Puro'!G43</f>
        <v>0.570850023164187</v>
      </c>
      <c r="H59" s="76" t="n">
        <f aca="false">'Operacional Puro'!H43</f>
        <v>0.536455681114353</v>
      </c>
    </row>
    <row r="61" customFormat="false" ht="15" hidden="false" customHeight="true" outlineLevel="0" collapsed="false">
      <c r="A61" s="5" t="s">
        <v>56</v>
      </c>
      <c r="B61" s="5"/>
      <c r="C61" s="5"/>
      <c r="D61" s="5"/>
      <c r="E61" s="5"/>
      <c r="F61" s="5"/>
      <c r="G61" s="5"/>
      <c r="H61" s="5"/>
    </row>
    <row r="62" customFormat="false" ht="15" hidden="false" customHeight="true" outlineLevel="0" collapsed="false">
      <c r="A62" s="67" t="s">
        <v>343</v>
      </c>
      <c r="B62" s="68" t="s">
        <v>306</v>
      </c>
      <c r="C62" s="12" t="n">
        <f aca="false">BP!C56</f>
        <v>334546</v>
      </c>
      <c r="D62" s="12" t="n">
        <f aca="false">BP!D56</f>
        <v>654091</v>
      </c>
      <c r="E62" s="12" t="n">
        <f aca="false">BP!E56</f>
        <v>618460</v>
      </c>
      <c r="F62" s="12" t="n">
        <f aca="false">BP!F56</f>
        <v>619753</v>
      </c>
      <c r="G62" s="12" t="n">
        <f aca="false">BP!G56</f>
        <v>954125</v>
      </c>
      <c r="H62" s="12" t="n">
        <f aca="false">BP!H56</f>
        <v>957566</v>
      </c>
    </row>
    <row r="63" customFormat="false" ht="15" hidden="false" customHeight="true" outlineLevel="0" collapsed="false">
      <c r="A63" s="63" t="s">
        <v>344</v>
      </c>
      <c r="B63" s="66" t="s">
        <v>310</v>
      </c>
      <c r="C63" s="69" t="s">
        <v>311</v>
      </c>
      <c r="D63" s="70" t="n">
        <f aca="false">IFERROR(D62/C62-1,0)</f>
        <v>0.955160127456314</v>
      </c>
      <c r="E63" s="70" t="n">
        <f aca="false">IFERROR(E62/D62-1,0)</f>
        <v>-0.0544740716505807</v>
      </c>
      <c r="F63" s="70" t="n">
        <f aca="false">IFERROR(F62/D62-1,0)</f>
        <v>-0.0524972824882165</v>
      </c>
      <c r="G63" s="70" t="n">
        <f aca="false">IFERROR(G62/E62-1,0)</f>
        <v>0.542743265530511</v>
      </c>
      <c r="H63" s="70" t="n">
        <f aca="false">IFERROR(H62/F62-1,0)</f>
        <v>0.545076828994777</v>
      </c>
    </row>
    <row r="65" customFormat="false" ht="15" hidden="false" customHeight="true" outlineLevel="0" collapsed="false">
      <c r="A65" s="5" t="s">
        <v>345</v>
      </c>
      <c r="B65" s="5"/>
      <c r="C65" s="5"/>
      <c r="D65" s="5"/>
      <c r="E65" s="5"/>
      <c r="F65" s="5"/>
      <c r="G65" s="5"/>
      <c r="H65" s="5"/>
    </row>
    <row r="66" customFormat="false" ht="15" hidden="false" customHeight="true" outlineLevel="0" collapsed="false">
      <c r="A66" s="7" t="s">
        <v>346</v>
      </c>
      <c r="B66" s="66" t="s">
        <v>306</v>
      </c>
      <c r="C66" s="40" t="n">
        <f aca="false">DFC!C27</f>
        <v>257346</v>
      </c>
      <c r="D66" s="40" t="n">
        <f aca="false">DFC!D27</f>
        <v>351089</v>
      </c>
      <c r="E66" s="40" t="n">
        <f aca="false">DFC!E27</f>
        <v>408515</v>
      </c>
      <c r="F66" s="40" t="n">
        <f aca="false">DFC!F27</f>
        <v>421231</v>
      </c>
      <c r="G66" s="40" t="n">
        <f aca="false">DFC!G27</f>
        <v>599263</v>
      </c>
      <c r="H66" s="40" t="n">
        <f aca="false">DFC!H27</f>
        <v>679990</v>
      </c>
    </row>
    <row r="67" customFormat="false" ht="15" hidden="false" customHeight="true" outlineLevel="0" collapsed="false">
      <c r="A67" s="7" t="s">
        <v>347</v>
      </c>
      <c r="B67" s="66" t="s">
        <v>306</v>
      </c>
      <c r="C67" s="40" t="n">
        <f aca="false">DFC!C36</f>
        <v>0</v>
      </c>
      <c r="D67" s="40" t="n">
        <f aca="false">DFC!D36</f>
        <v>-312929</v>
      </c>
      <c r="E67" s="40" t="n">
        <f aca="false">DFC!E36</f>
        <v>-564647</v>
      </c>
      <c r="F67" s="40" t="n">
        <f aca="false">DFC!F36</f>
        <v>-559238</v>
      </c>
      <c r="G67" s="40" t="n">
        <f aca="false">DFC!G36</f>
        <v>-517121</v>
      </c>
      <c r="H67" s="40" t="n">
        <f aca="false">DFC!H36</f>
        <v>-557978</v>
      </c>
    </row>
    <row r="68" customFormat="false" ht="15" hidden="false" customHeight="true" outlineLevel="0" collapsed="false">
      <c r="A68" s="67" t="s">
        <v>348</v>
      </c>
      <c r="B68" s="68" t="s">
        <v>306</v>
      </c>
      <c r="C68" s="12" t="n">
        <f aca="false">DFC!C38</f>
        <v>257346</v>
      </c>
      <c r="D68" s="12" t="n">
        <f aca="false">DFC!D38</f>
        <v>38160</v>
      </c>
      <c r="E68" s="12" t="n">
        <f aca="false">DFC!E38</f>
        <v>-156132</v>
      </c>
      <c r="F68" s="12" t="n">
        <f aca="false">DFC!F38</f>
        <v>-138007</v>
      </c>
      <c r="G68" s="12" t="n">
        <f aca="false">DFC!G38</f>
        <v>82142</v>
      </c>
      <c r="H68" s="12" t="n">
        <f aca="false">DFC!H38</f>
        <v>122012</v>
      </c>
    </row>
    <row r="69" customFormat="false" ht="15" hidden="false" customHeight="true" outlineLevel="0" collapsed="false">
      <c r="A69" s="7" t="s">
        <v>349</v>
      </c>
      <c r="B69" s="66" t="s">
        <v>306</v>
      </c>
      <c r="C69" s="40" t="n">
        <f aca="false">-DFC!C30</f>
        <v>-0</v>
      </c>
      <c r="D69" s="40" t="n">
        <f aca="false">-DFC!D30</f>
        <v>-0</v>
      </c>
      <c r="E69" s="40" t="n">
        <f aca="false">-DFC!E30</f>
        <v>382368</v>
      </c>
      <c r="F69" s="40" t="n">
        <f aca="false">-DFC!F30</f>
        <v>382368</v>
      </c>
      <c r="G69" s="40" t="n">
        <f aca="false">-DFC!G30</f>
        <v>507575</v>
      </c>
      <c r="H69" s="40" t="n">
        <f aca="false">-DFC!H30</f>
        <v>507575</v>
      </c>
    </row>
    <row r="71" customFormat="false" ht="15" hidden="false" customHeight="true" outlineLevel="0" collapsed="false">
      <c r="A71" s="21" t="s">
        <v>65</v>
      </c>
    </row>
    <row r="72" customFormat="false" ht="15" hidden="false" customHeight="true" outlineLevel="0" collapsed="false">
      <c r="A72" s="22" t="s">
        <v>350</v>
      </c>
      <c r="B72" s="22"/>
      <c r="C72" s="22"/>
      <c r="D72" s="22"/>
      <c r="E72" s="22"/>
      <c r="F72" s="22"/>
      <c r="G72" s="22"/>
      <c r="H72" s="22"/>
    </row>
    <row r="73" customFormat="false" ht="15" hidden="false" customHeight="true" outlineLevel="0" collapsed="false">
      <c r="A73" s="22" t="s">
        <v>351</v>
      </c>
      <c r="B73" s="22"/>
      <c r="C73" s="22"/>
      <c r="D73" s="22"/>
      <c r="E73" s="22"/>
      <c r="F73" s="22"/>
      <c r="G73" s="22"/>
      <c r="H73" s="22"/>
    </row>
    <row r="74" customFormat="false" ht="15" hidden="false" customHeight="true" outlineLevel="0" collapsed="false">
      <c r="A74" s="22" t="s">
        <v>352</v>
      </c>
      <c r="B74" s="22"/>
      <c r="C74" s="22"/>
      <c r="D74" s="22"/>
      <c r="E74" s="22"/>
      <c r="F74" s="22"/>
      <c r="G74" s="22"/>
      <c r="H74" s="22"/>
    </row>
    <row r="75" customFormat="false" ht="15" hidden="false" customHeight="true" outlineLevel="0" collapsed="false">
      <c r="A75" s="22" t="s">
        <v>353</v>
      </c>
      <c r="B75" s="22"/>
      <c r="C75" s="22"/>
      <c r="D75" s="22"/>
      <c r="E75" s="22"/>
      <c r="F75" s="22"/>
      <c r="G75" s="22"/>
      <c r="H75" s="22"/>
    </row>
    <row r="76" customFormat="false" ht="15" hidden="false" customHeight="true" outlineLevel="0" collapsed="false">
      <c r="A76" s="22" t="s">
        <v>354</v>
      </c>
      <c r="B76" s="22"/>
      <c r="C76" s="22"/>
      <c r="D76" s="22"/>
      <c r="E76" s="22"/>
      <c r="F76" s="22"/>
      <c r="G76" s="22"/>
      <c r="H76" s="22"/>
    </row>
    <row r="77" customFormat="false" ht="15" hidden="false" customHeight="true" outlineLevel="0" collapsed="false">
      <c r="A77" s="22" t="s">
        <v>355</v>
      </c>
      <c r="B77" s="22"/>
      <c r="C77" s="22"/>
      <c r="D77" s="22"/>
      <c r="E77" s="22"/>
      <c r="F77" s="22"/>
      <c r="G77" s="22"/>
      <c r="H77" s="22"/>
    </row>
    <row r="78" customFormat="false" ht="15" hidden="false" customHeight="true" outlineLevel="0" collapsed="false">
      <c r="A78" s="22" t="s">
        <v>356</v>
      </c>
      <c r="B78" s="22"/>
      <c r="C78" s="22"/>
      <c r="D78" s="22"/>
      <c r="E78" s="22"/>
      <c r="F78" s="22"/>
      <c r="G78" s="22"/>
      <c r="H78" s="22"/>
    </row>
    <row r="79" customFormat="false" ht="15" hidden="false" customHeight="true" outlineLevel="0" collapsed="false">
      <c r="A79" s="22" t="s">
        <v>357</v>
      </c>
      <c r="B79" s="22"/>
      <c r="C79" s="22"/>
      <c r="D79" s="22"/>
      <c r="E79" s="22"/>
      <c r="F79" s="22"/>
      <c r="G79" s="22"/>
      <c r="H79" s="22"/>
    </row>
    <row r="80" customFormat="false" ht="15" hidden="false" customHeight="true" outlineLevel="0" collapsed="false">
      <c r="A80" s="22" t="s">
        <v>358</v>
      </c>
      <c r="B80" s="22"/>
      <c r="C80" s="22"/>
      <c r="D80" s="22"/>
      <c r="E80" s="22"/>
      <c r="F80" s="22"/>
      <c r="G80" s="22"/>
      <c r="H80" s="22"/>
    </row>
    <row r="81" customFormat="false" ht="15" hidden="false" customHeight="true" outlineLevel="0" collapsed="false">
      <c r="A81" s="22" t="s">
        <v>359</v>
      </c>
      <c r="B81" s="22"/>
      <c r="C81" s="22"/>
      <c r="D81" s="22"/>
      <c r="E81" s="22"/>
      <c r="F81" s="22"/>
      <c r="G81" s="22"/>
      <c r="H81" s="22"/>
    </row>
    <row r="82" customFormat="false" ht="15" hidden="false" customHeight="true" outlineLevel="0" collapsed="false">
      <c r="A82" s="22" t="s">
        <v>360</v>
      </c>
      <c r="B82" s="22"/>
      <c r="C82" s="22"/>
      <c r="D82" s="22"/>
      <c r="E82" s="22"/>
      <c r="F82" s="22"/>
      <c r="G82" s="22"/>
      <c r="H82" s="22"/>
    </row>
    <row r="83" customFormat="false" ht="15" hidden="false" customHeight="true" outlineLevel="0" collapsed="false">
      <c r="A83" s="22" t="s">
        <v>361</v>
      </c>
      <c r="B83" s="22"/>
      <c r="C83" s="22"/>
      <c r="D83" s="22"/>
      <c r="E83" s="22"/>
      <c r="F83" s="22"/>
      <c r="G83" s="22"/>
      <c r="H83" s="22"/>
    </row>
  </sheetData>
  <mergeCells count="23">
    <mergeCell ref="A1:H1"/>
    <mergeCell ref="A2:H2"/>
    <mergeCell ref="A6:H6"/>
    <mergeCell ref="A19:H19"/>
    <mergeCell ref="A25:H25"/>
    <mergeCell ref="A32:H32"/>
    <mergeCell ref="A44:H44"/>
    <mergeCell ref="A50:H50"/>
    <mergeCell ref="A56:H56"/>
    <mergeCell ref="A61:H61"/>
    <mergeCell ref="A65:H65"/>
    <mergeCell ref="A72:H72"/>
    <mergeCell ref="A73:H73"/>
    <mergeCell ref="A74:H74"/>
    <mergeCell ref="A75:H75"/>
    <mergeCell ref="A76:H76"/>
    <mergeCell ref="A77:H77"/>
    <mergeCell ref="A78:H78"/>
    <mergeCell ref="A79:H79"/>
    <mergeCell ref="A80:H80"/>
    <mergeCell ref="A81:H81"/>
    <mergeCell ref="A82:H82"/>
    <mergeCell ref="A83:H83"/>
  </mergeCells>
  <conditionalFormatting sqref="C8:H8">
    <cfRule type="cellIs" priority="2" operator="equal" aboveAverage="0" equalAverage="0" bottom="0" percent="0" rank="0" text="" dxfId="0">
      <formula>"PASSA"</formula>
    </cfRule>
    <cfRule type="cellIs" priority="3" operator="equal" aboveAverage="0" equalAverage="0" bottom="0" percent="0" rank="0" text="" dxfId="1">
      <formula>"APERTADO"</formula>
    </cfRule>
    <cfRule type="cellIs" priority="4" operator="equal" aboveAverage="0" equalAverage="0" bottom="0" percent="0" rank="0" text="" dxfId="2">
      <formula>"FALHA"</formula>
    </cfRule>
  </conditionalFormatting>
  <conditionalFormatting sqref="C11:H11">
    <cfRule type="cellIs" priority="5" operator="equal" aboveAverage="0" equalAverage="0" bottom="0" percent="0" rank="0" text="" dxfId="0">
      <formula>"PASSA"</formula>
    </cfRule>
    <cfRule type="cellIs" priority="6" operator="equal" aboveAverage="0" equalAverage="0" bottom="0" percent="0" rank="0" text="" dxfId="1">
      <formula>"APERTADO"</formula>
    </cfRule>
    <cfRule type="cellIs" priority="7" operator="equal" aboveAverage="0" equalAverage="0" bottom="0" percent="0" rank="0" text="" dxfId="2">
      <formula>"FALHA"</formula>
    </cfRule>
  </conditionalFormatting>
  <conditionalFormatting sqref="C14:H14">
    <cfRule type="cellIs" priority="8" operator="equal" aboveAverage="0" equalAverage="0" bottom="0" percent="0" rank="0" text="" dxfId="0">
      <formula>"PASSA"</formula>
    </cfRule>
    <cfRule type="cellIs" priority="9" operator="equal" aboveAverage="0" equalAverage="0" bottom="0" percent="0" rank="0" text="" dxfId="1">
      <formula>"APERTADO"</formula>
    </cfRule>
    <cfRule type="cellIs" priority="10" operator="equal" aboveAverage="0" equalAverage="0" bottom="0" percent="0" rank="0" text="" dxfId="2">
      <formula>"FALHA"</formula>
    </cfRule>
  </conditionalFormatting>
  <conditionalFormatting sqref="C17:H17">
    <cfRule type="cellIs" priority="11" operator="equal" aboveAverage="0" equalAverage="0" bottom="0" percent="0" rank="0" text="" dxfId="0">
      <formula>"PASSA"</formula>
    </cfRule>
    <cfRule type="cellIs" priority="12" operator="equal" aboveAverage="0" equalAverage="0" bottom="0" percent="0" rank="0" text="" dxfId="1">
      <formula>"APERTADO"</formula>
    </cfRule>
    <cfRule type="cellIs" priority="13" operator="equal" aboveAverage="0" equalAverage="0" bottom="0" percent="0" rank="0" text="" dxfId="2">
      <formula>"FALHA"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3"/>
    <col collapsed="false" customWidth="true" hidden="false" outlineLevel="0" max="8" min="3" style="1" width="11"/>
  </cols>
  <sheetData>
    <row r="1" customFormat="false" ht="17.25" hidden="false" customHeight="true" outlineLevel="0" collapsed="false">
      <c r="A1" s="2" t="s">
        <v>362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363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77" t="s">
        <v>364</v>
      </c>
      <c r="B4" s="77" t="s">
        <v>365</v>
      </c>
      <c r="C4" s="78" t="s">
        <v>366</v>
      </c>
      <c r="D4" s="78"/>
      <c r="E4" s="77" t="s">
        <v>367</v>
      </c>
      <c r="F4" s="77"/>
      <c r="G4" s="79" t="s">
        <v>368</v>
      </c>
      <c r="H4" s="79"/>
    </row>
    <row r="5" customFormat="false" ht="15" hidden="false" customHeight="true" outlineLevel="0" collapsed="false">
      <c r="A5" s="77"/>
      <c r="B5" s="77"/>
      <c r="C5" s="80" t="s">
        <v>369</v>
      </c>
      <c r="D5" s="80" t="s">
        <v>370</v>
      </c>
      <c r="E5" s="23" t="s">
        <v>369</v>
      </c>
      <c r="F5" s="23" t="s">
        <v>370</v>
      </c>
      <c r="G5" s="81" t="s">
        <v>369</v>
      </c>
      <c r="H5" s="81" t="s">
        <v>370</v>
      </c>
    </row>
    <row r="7" customFormat="false" ht="15" hidden="false" customHeight="true" outlineLevel="0" collapsed="false">
      <c r="A7" s="5" t="s">
        <v>371</v>
      </c>
      <c r="B7" s="5"/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7" t="s">
        <v>372</v>
      </c>
      <c r="B8" s="13" t="s">
        <v>373</v>
      </c>
      <c r="C8" s="82" t="s">
        <v>374</v>
      </c>
      <c r="D8" s="82" t="s">
        <v>374</v>
      </c>
      <c r="E8" s="82" t="s">
        <v>375</v>
      </c>
      <c r="F8" s="82" t="s">
        <v>375</v>
      </c>
      <c r="G8" s="82" t="s">
        <v>376</v>
      </c>
      <c r="H8" s="82" t="s">
        <v>376</v>
      </c>
    </row>
    <row r="9" customFormat="false" ht="15" hidden="false" customHeight="true" outlineLevel="0" collapsed="false">
      <c r="A9" s="7" t="s">
        <v>377</v>
      </c>
      <c r="B9" s="13" t="s">
        <v>373</v>
      </c>
      <c r="C9" s="82" t="s">
        <v>378</v>
      </c>
      <c r="D9" s="82" t="s">
        <v>379</v>
      </c>
      <c r="E9" s="82" t="s">
        <v>380</v>
      </c>
      <c r="F9" s="82" t="s">
        <v>380</v>
      </c>
      <c r="G9" s="82" t="s">
        <v>381</v>
      </c>
      <c r="H9" s="82" t="s">
        <v>382</v>
      </c>
    </row>
    <row r="10" customFormat="false" ht="15" hidden="false" customHeight="true" outlineLevel="0" collapsed="false">
      <c r="A10" s="7" t="s">
        <v>383</v>
      </c>
      <c r="B10" s="13" t="s">
        <v>381</v>
      </c>
      <c r="C10" s="82" t="s">
        <v>378</v>
      </c>
      <c r="D10" s="82" t="s">
        <v>373</v>
      </c>
      <c r="E10" s="82" t="s">
        <v>380</v>
      </c>
      <c r="F10" s="82" t="s">
        <v>380</v>
      </c>
      <c r="G10" s="82" t="s">
        <v>381</v>
      </c>
      <c r="H10" s="82" t="s">
        <v>381</v>
      </c>
    </row>
    <row r="11" customFormat="false" ht="15" hidden="false" customHeight="true" outlineLevel="0" collapsed="false">
      <c r="A11" s="7" t="s">
        <v>384</v>
      </c>
      <c r="B11" s="13" t="s">
        <v>373</v>
      </c>
      <c r="C11" s="82" t="s">
        <v>373</v>
      </c>
      <c r="D11" s="82" t="s">
        <v>373</v>
      </c>
      <c r="E11" s="82" t="s">
        <v>379</v>
      </c>
      <c r="F11" s="82" t="s">
        <v>373</v>
      </c>
      <c r="G11" s="82" t="s">
        <v>378</v>
      </c>
      <c r="H11" s="82" t="s">
        <v>379</v>
      </c>
    </row>
    <row r="12" customFormat="false" ht="15" hidden="false" customHeight="true" outlineLevel="0" collapsed="false">
      <c r="A12" s="7" t="s">
        <v>385</v>
      </c>
      <c r="B12" s="13" t="s">
        <v>386</v>
      </c>
      <c r="C12" s="82" t="s">
        <v>387</v>
      </c>
      <c r="D12" s="82" t="s">
        <v>387</v>
      </c>
      <c r="E12" s="82" t="s">
        <v>311</v>
      </c>
      <c r="F12" s="82" t="s">
        <v>387</v>
      </c>
      <c r="G12" s="82" t="s">
        <v>311</v>
      </c>
      <c r="H12" s="82" t="s">
        <v>311</v>
      </c>
    </row>
    <row r="14" customFormat="false" ht="15" hidden="false" customHeight="true" outlineLevel="0" collapsed="false">
      <c r="A14" s="5" t="s">
        <v>388</v>
      </c>
      <c r="B14" s="5"/>
      <c r="C14" s="5"/>
      <c r="D14" s="5"/>
      <c r="E14" s="5"/>
      <c r="F14" s="5"/>
      <c r="G14" s="5"/>
      <c r="H14" s="5"/>
    </row>
    <row r="15" customFormat="false" ht="15" hidden="false" customHeight="true" outlineLevel="0" collapsed="false">
      <c r="A15" s="7" t="s">
        <v>389</v>
      </c>
      <c r="B15" s="83" t="n">
        <v>437800</v>
      </c>
      <c r="C15" s="84" t="n">
        <v>0.08</v>
      </c>
      <c r="D15" s="84" t="n">
        <v>0.07</v>
      </c>
      <c r="E15" s="84" t="n">
        <v>0.03</v>
      </c>
      <c r="F15" s="84" t="n">
        <v>0.03</v>
      </c>
      <c r="G15" s="84" t="n">
        <v>-0.02</v>
      </c>
      <c r="H15" s="84" t="n">
        <v>-0.01</v>
      </c>
    </row>
    <row r="16" customFormat="false" ht="15" hidden="false" customHeight="true" outlineLevel="0" collapsed="false">
      <c r="A16" s="7" t="s">
        <v>390</v>
      </c>
      <c r="B16" s="83" t="n">
        <v>541000</v>
      </c>
      <c r="C16" s="84" t="n">
        <v>0.1</v>
      </c>
      <c r="D16" s="84" t="n">
        <v>0.08</v>
      </c>
      <c r="E16" s="84" t="n">
        <v>0.05</v>
      </c>
      <c r="F16" s="84" t="n">
        <v>0.04</v>
      </c>
      <c r="G16" s="84" t="n">
        <v>-0.01</v>
      </c>
      <c r="H16" s="84" t="n">
        <v>0</v>
      </c>
    </row>
    <row r="17" customFormat="false" ht="15" hidden="false" customHeight="true" outlineLevel="0" collapsed="false">
      <c r="A17" s="7" t="s">
        <v>391</v>
      </c>
      <c r="B17" s="83" t="n">
        <v>322000</v>
      </c>
      <c r="C17" s="84" t="n">
        <v>0.05</v>
      </c>
      <c r="D17" s="84" t="n">
        <v>0.05</v>
      </c>
      <c r="E17" s="84" t="n">
        <v>0.02</v>
      </c>
      <c r="F17" s="84" t="n">
        <v>0.02</v>
      </c>
      <c r="G17" s="84" t="n">
        <v>-0.02</v>
      </c>
      <c r="H17" s="84" t="n">
        <v>-0.01</v>
      </c>
    </row>
    <row r="18" customFormat="false" ht="15" hidden="false" customHeight="true" outlineLevel="0" collapsed="false">
      <c r="A18" s="7" t="s">
        <v>392</v>
      </c>
      <c r="B18" s="83" t="n">
        <v>96000</v>
      </c>
      <c r="C18" s="84" t="n">
        <v>0.05</v>
      </c>
      <c r="D18" s="84" t="n">
        <v>0.04</v>
      </c>
      <c r="E18" s="84" t="n">
        <v>0.03</v>
      </c>
      <c r="F18" s="84" t="n">
        <v>0.02</v>
      </c>
      <c r="G18" s="84" t="n">
        <v>0</v>
      </c>
      <c r="H18" s="84" t="n">
        <v>0</v>
      </c>
    </row>
    <row r="20" customFormat="false" ht="15" hidden="false" customHeight="true" outlineLevel="0" collapsed="false">
      <c r="A20" s="5" t="s">
        <v>393</v>
      </c>
      <c r="B20" s="5"/>
      <c r="C20" s="5"/>
      <c r="D20" s="5"/>
      <c r="E20" s="5"/>
      <c r="F20" s="5"/>
      <c r="G20" s="5"/>
      <c r="H20" s="5"/>
    </row>
    <row r="21" customFormat="false" ht="15" hidden="false" customHeight="true" outlineLevel="0" collapsed="false">
      <c r="A21" s="7" t="s">
        <v>394</v>
      </c>
      <c r="B21" s="85" t="n">
        <v>174200</v>
      </c>
      <c r="C21" s="35" t="n">
        <v>0</v>
      </c>
      <c r="D21" s="35" t="n">
        <v>0</v>
      </c>
      <c r="E21" s="35" t="n">
        <v>0</v>
      </c>
      <c r="F21" s="35" t="n">
        <v>0</v>
      </c>
      <c r="G21" s="35" t="n">
        <v>0</v>
      </c>
      <c r="H21" s="35" t="n">
        <v>0</v>
      </c>
    </row>
    <row r="22" customFormat="false" ht="15" hidden="false" customHeight="true" outlineLevel="0" collapsed="false">
      <c r="A22" s="7" t="s">
        <v>395</v>
      </c>
      <c r="B22" s="85" t="n">
        <v>21600</v>
      </c>
      <c r="C22" s="35" t="n">
        <v>21600</v>
      </c>
      <c r="D22" s="35" t="n">
        <v>21600</v>
      </c>
      <c r="E22" s="35" t="n">
        <v>0</v>
      </c>
      <c r="F22" s="35" t="n">
        <v>21600</v>
      </c>
      <c r="G22" s="35" t="n">
        <v>0</v>
      </c>
      <c r="H22" s="35" t="n">
        <v>0</v>
      </c>
    </row>
    <row r="24" customFormat="false" ht="15" hidden="false" customHeight="true" outlineLevel="0" collapsed="false">
      <c r="A24" s="5" t="s">
        <v>396</v>
      </c>
      <c r="B24" s="5"/>
      <c r="C24" s="5"/>
      <c r="D24" s="5"/>
      <c r="E24" s="5"/>
      <c r="F24" s="5"/>
      <c r="G24" s="5"/>
      <c r="H24" s="5"/>
    </row>
    <row r="25" customFormat="false" ht="15" hidden="false" customHeight="true" outlineLevel="0" collapsed="false">
      <c r="A25" s="7" t="s">
        <v>397</v>
      </c>
      <c r="B25" s="83" t="n">
        <v>711094</v>
      </c>
      <c r="C25" s="84" t="n">
        <v>0.12</v>
      </c>
      <c r="D25" s="84" t="n">
        <v>0.08</v>
      </c>
      <c r="E25" s="84" t="n">
        <v>0.07</v>
      </c>
      <c r="F25" s="84" t="n">
        <v>0.05</v>
      </c>
      <c r="G25" s="84" t="n">
        <v>0.04</v>
      </c>
      <c r="H25" s="84" t="n">
        <v>0.02</v>
      </c>
    </row>
    <row r="27" customFormat="false" ht="15" hidden="false" customHeight="true" outlineLevel="0" collapsed="false">
      <c r="A27" s="5" t="s">
        <v>398</v>
      </c>
      <c r="B27" s="5"/>
      <c r="C27" s="5"/>
      <c r="D27" s="5"/>
      <c r="E27" s="5"/>
      <c r="F27" s="5"/>
      <c r="G27" s="5"/>
      <c r="H27" s="5"/>
    </row>
    <row r="28" customFormat="false" ht="15" hidden="false" customHeight="true" outlineLevel="0" collapsed="false">
      <c r="A28" s="7" t="s">
        <v>399</v>
      </c>
      <c r="B28" s="85" t="n">
        <v>635605</v>
      </c>
      <c r="C28" s="35" t="n">
        <v>600000</v>
      </c>
      <c r="D28" s="35" t="n">
        <v>550000</v>
      </c>
      <c r="E28" s="35" t="n">
        <v>450000</v>
      </c>
      <c r="F28" s="35" t="n">
        <v>400000</v>
      </c>
      <c r="G28" s="35" t="n">
        <v>320000</v>
      </c>
      <c r="H28" s="35" t="n">
        <v>250000</v>
      </c>
    </row>
    <row r="29" customFormat="false" ht="15" hidden="false" customHeight="true" outlineLevel="0" collapsed="false">
      <c r="A29" s="7" t="s">
        <v>400</v>
      </c>
      <c r="B29" s="85" t="n">
        <v>518741</v>
      </c>
      <c r="C29" s="35" t="n">
        <v>450000</v>
      </c>
      <c r="D29" s="35" t="n">
        <v>500000</v>
      </c>
      <c r="E29" s="35" t="n">
        <v>300000</v>
      </c>
      <c r="F29" s="35" t="n">
        <v>350000</v>
      </c>
      <c r="G29" s="35" t="n">
        <v>200000</v>
      </c>
      <c r="H29" s="35" t="n">
        <v>200000</v>
      </c>
    </row>
    <row r="31" customFormat="false" ht="15" hidden="false" customHeight="true" outlineLevel="0" collapsed="false">
      <c r="A31" s="5" t="s">
        <v>401</v>
      </c>
      <c r="B31" s="5"/>
      <c r="C31" s="5"/>
      <c r="D31" s="5"/>
      <c r="E31" s="5"/>
      <c r="F31" s="5"/>
      <c r="G31" s="5"/>
      <c r="H31" s="5"/>
    </row>
    <row r="32" customFormat="false" ht="15" hidden="false" customHeight="true" outlineLevel="0" collapsed="false">
      <c r="A32" s="7" t="s">
        <v>402</v>
      </c>
      <c r="B32" s="83" t="n">
        <v>131954</v>
      </c>
      <c r="C32" s="84" t="n">
        <v>0.05</v>
      </c>
      <c r="D32" s="84" t="n">
        <v>0.04</v>
      </c>
      <c r="E32" s="84" t="n">
        <v>0.03</v>
      </c>
      <c r="F32" s="84" t="n">
        <v>0.02</v>
      </c>
      <c r="G32" s="84" t="n">
        <v>-0.05</v>
      </c>
      <c r="H32" s="84" t="n">
        <v>-0.03</v>
      </c>
    </row>
    <row r="33" customFormat="false" ht="15" hidden="false" customHeight="true" outlineLevel="0" collapsed="false">
      <c r="A33" s="7" t="s">
        <v>88</v>
      </c>
      <c r="B33" s="83" t="n">
        <v>142285</v>
      </c>
      <c r="C33" s="84" t="n">
        <v>0.08</v>
      </c>
      <c r="D33" s="84" t="n">
        <v>0.05</v>
      </c>
      <c r="E33" s="84" t="n">
        <v>0.05</v>
      </c>
      <c r="F33" s="84" t="n">
        <v>0.03</v>
      </c>
      <c r="G33" s="84" t="n">
        <v>0.03</v>
      </c>
      <c r="H33" s="84" t="n">
        <v>0.02</v>
      </c>
    </row>
    <row r="34" customFormat="false" ht="15" hidden="false" customHeight="true" outlineLevel="0" collapsed="false">
      <c r="A34" s="7" t="s">
        <v>90</v>
      </c>
      <c r="B34" s="83" t="n">
        <v>39610</v>
      </c>
      <c r="C34" s="84" t="n">
        <v>0.05</v>
      </c>
      <c r="D34" s="84" t="n">
        <v>0.05</v>
      </c>
      <c r="E34" s="84" t="n">
        <v>0.03</v>
      </c>
      <c r="F34" s="84" t="n">
        <v>0.03</v>
      </c>
      <c r="G34" s="84" t="n">
        <v>0</v>
      </c>
      <c r="H34" s="84" t="n">
        <v>0</v>
      </c>
    </row>
    <row r="35" customFormat="false" ht="15" hidden="false" customHeight="true" outlineLevel="0" collapsed="false">
      <c r="A35" s="7" t="s">
        <v>403</v>
      </c>
      <c r="B35" s="83" t="n">
        <v>99844</v>
      </c>
      <c r="C35" s="84" t="n">
        <v>0.05</v>
      </c>
      <c r="D35" s="84" t="n">
        <v>0.04</v>
      </c>
      <c r="E35" s="84" t="n">
        <v>0.03</v>
      </c>
      <c r="F35" s="84" t="n">
        <v>0.02</v>
      </c>
      <c r="G35" s="84" t="n">
        <v>0</v>
      </c>
      <c r="H35" s="84" t="n">
        <v>0</v>
      </c>
    </row>
    <row r="37" customFormat="false" ht="15" hidden="false" customHeight="true" outlineLevel="0" collapsed="false">
      <c r="A37" s="5" t="s">
        <v>404</v>
      </c>
      <c r="B37" s="5"/>
      <c r="C37" s="5"/>
      <c r="D37" s="5"/>
      <c r="E37" s="5"/>
      <c r="F37" s="5"/>
      <c r="G37" s="5"/>
      <c r="H37" s="5"/>
    </row>
    <row r="38" customFormat="false" ht="15" hidden="false" customHeight="true" outlineLevel="0" collapsed="false">
      <c r="A38" s="7" t="s">
        <v>405</v>
      </c>
      <c r="B38" s="83" t="n">
        <v>0.38</v>
      </c>
      <c r="C38" s="84" t="n">
        <v>0.4</v>
      </c>
      <c r="D38" s="84" t="n">
        <v>0.45</v>
      </c>
      <c r="E38" s="84" t="n">
        <v>0.4</v>
      </c>
      <c r="F38" s="84" t="n">
        <v>0.42</v>
      </c>
      <c r="G38" s="84" t="n">
        <v>0.42</v>
      </c>
      <c r="H38" s="84" t="n">
        <v>0.45</v>
      </c>
    </row>
    <row r="39" customFormat="false" ht="15" hidden="false" customHeight="true" outlineLevel="0" collapsed="false">
      <c r="A39" s="7" t="s">
        <v>406</v>
      </c>
      <c r="B39" s="85" t="n">
        <v>12625</v>
      </c>
      <c r="C39" s="35" t="n">
        <v>15000</v>
      </c>
      <c r="D39" s="35" t="n">
        <v>18000</v>
      </c>
      <c r="E39" s="35" t="n">
        <v>14000</v>
      </c>
      <c r="F39" s="35" t="n">
        <v>15000</v>
      </c>
      <c r="G39" s="35" t="n">
        <v>13000</v>
      </c>
      <c r="H39" s="35" t="n">
        <v>13500</v>
      </c>
    </row>
    <row r="41" customFormat="false" ht="15" hidden="false" customHeight="true" outlineLevel="0" collapsed="false">
      <c r="A41" s="5" t="s">
        <v>407</v>
      </c>
      <c r="B41" s="5"/>
      <c r="C41" s="5"/>
      <c r="D41" s="5"/>
      <c r="E41" s="5"/>
      <c r="F41" s="5"/>
      <c r="G41" s="5"/>
      <c r="H41" s="5"/>
    </row>
    <row r="42" customFormat="false" ht="15" hidden="false" customHeight="true" outlineLevel="0" collapsed="false">
      <c r="A42" s="7" t="s">
        <v>408</v>
      </c>
      <c r="B42" s="85" t="n">
        <v>6991</v>
      </c>
      <c r="C42" s="35" t="n">
        <v>10000</v>
      </c>
      <c r="D42" s="35" t="n">
        <v>5000</v>
      </c>
      <c r="E42" s="35" t="n">
        <v>0</v>
      </c>
      <c r="F42" s="35" t="n">
        <v>-5000</v>
      </c>
      <c r="G42" s="35" t="n">
        <v>-15000</v>
      </c>
      <c r="H42" s="35" t="n">
        <v>-20000</v>
      </c>
    </row>
    <row r="43" customFormat="false" ht="15" hidden="false" customHeight="true" outlineLevel="0" collapsed="false">
      <c r="A43" s="7" t="s">
        <v>409</v>
      </c>
      <c r="B43" s="85" t="n">
        <v>13939</v>
      </c>
      <c r="C43" s="35" t="n">
        <v>15000</v>
      </c>
      <c r="D43" s="35" t="n">
        <v>18000</v>
      </c>
      <c r="E43" s="35" t="n">
        <v>10000</v>
      </c>
      <c r="F43" s="35" t="n">
        <v>12000</v>
      </c>
      <c r="G43" s="35" t="n">
        <v>5000</v>
      </c>
      <c r="H43" s="35" t="n">
        <v>5000</v>
      </c>
    </row>
    <row r="44" customFormat="false" ht="15" hidden="false" customHeight="true" outlineLevel="0" collapsed="false">
      <c r="A44" s="7" t="s">
        <v>410</v>
      </c>
      <c r="B44" s="85" t="n">
        <v>23246</v>
      </c>
      <c r="C44" s="35" t="n">
        <v>0</v>
      </c>
      <c r="D44" s="35" t="n">
        <v>0</v>
      </c>
      <c r="E44" s="35" t="n">
        <v>0</v>
      </c>
      <c r="F44" s="35" t="n">
        <v>0</v>
      </c>
      <c r="G44" s="35" t="n">
        <v>0</v>
      </c>
      <c r="H44" s="35" t="n">
        <v>0</v>
      </c>
    </row>
    <row r="45" customFormat="false" ht="15" hidden="false" customHeight="true" outlineLevel="0" collapsed="false">
      <c r="A45" s="7" t="s">
        <v>411</v>
      </c>
      <c r="B45" s="85" t="n">
        <v>7010</v>
      </c>
      <c r="C45" s="35" t="n">
        <v>5000</v>
      </c>
      <c r="D45" s="35" t="n">
        <v>3000</v>
      </c>
      <c r="E45" s="35" t="n">
        <v>4000</v>
      </c>
      <c r="F45" s="35" t="n">
        <v>2000</v>
      </c>
      <c r="G45" s="35" t="n">
        <v>3000</v>
      </c>
      <c r="H45" s="35" t="n">
        <v>1500</v>
      </c>
    </row>
    <row r="46" customFormat="false" ht="15" hidden="false" customHeight="true" outlineLevel="0" collapsed="false">
      <c r="A46" s="7" t="s">
        <v>412</v>
      </c>
      <c r="B46" s="85" t="n">
        <v>8758</v>
      </c>
      <c r="C46" s="35" t="n">
        <v>15832</v>
      </c>
      <c r="D46" s="35" t="n">
        <v>15832</v>
      </c>
      <c r="E46" s="35" t="n">
        <v>15832</v>
      </c>
      <c r="F46" s="35" t="n">
        <v>15832</v>
      </c>
      <c r="G46" s="35" t="n">
        <v>15832</v>
      </c>
      <c r="H46" s="35" t="n">
        <v>15832</v>
      </c>
    </row>
    <row r="47" customFormat="false" ht="15" hidden="false" customHeight="true" outlineLevel="0" collapsed="false">
      <c r="A47" s="7" t="s">
        <v>413</v>
      </c>
      <c r="B47" s="85" t="n">
        <v>20061</v>
      </c>
      <c r="C47" s="35" t="n">
        <v>22000</v>
      </c>
      <c r="D47" s="35" t="n">
        <v>23000</v>
      </c>
      <c r="E47" s="35" t="n">
        <v>22000</v>
      </c>
      <c r="F47" s="35" t="n">
        <v>23000</v>
      </c>
      <c r="G47" s="35" t="n">
        <v>22000</v>
      </c>
      <c r="H47" s="35" t="n">
        <v>23000</v>
      </c>
    </row>
    <row r="49" customFormat="false" ht="15" hidden="false" customHeight="true" outlineLevel="0" collapsed="false">
      <c r="A49" s="21" t="s">
        <v>65</v>
      </c>
    </row>
    <row r="50" customFormat="false" ht="15" hidden="false" customHeight="true" outlineLevel="0" collapsed="false">
      <c r="A50" s="22" t="s">
        <v>414</v>
      </c>
      <c r="B50" s="22"/>
      <c r="C50" s="22"/>
      <c r="D50" s="22"/>
      <c r="E50" s="22"/>
      <c r="F50" s="22"/>
      <c r="G50" s="22"/>
      <c r="H50" s="22"/>
    </row>
    <row r="51" customFormat="false" ht="15" hidden="false" customHeight="true" outlineLevel="0" collapsed="false">
      <c r="A51" s="22" t="s">
        <v>415</v>
      </c>
      <c r="B51" s="22"/>
      <c r="C51" s="22"/>
      <c r="D51" s="22"/>
      <c r="E51" s="22"/>
      <c r="F51" s="22"/>
      <c r="G51" s="22"/>
      <c r="H51" s="22"/>
    </row>
    <row r="52" customFormat="false" ht="15" hidden="false" customHeight="true" outlineLevel="0" collapsed="false">
      <c r="A52" s="22" t="s">
        <v>416</v>
      </c>
      <c r="B52" s="22"/>
      <c r="C52" s="22"/>
      <c r="D52" s="22"/>
      <c r="E52" s="22"/>
      <c r="F52" s="22"/>
      <c r="G52" s="22"/>
      <c r="H52" s="22"/>
    </row>
    <row r="53" customFormat="false" ht="15" hidden="false" customHeight="true" outlineLevel="0" collapsed="false">
      <c r="A53" s="22" t="s">
        <v>417</v>
      </c>
      <c r="B53" s="22"/>
      <c r="C53" s="22"/>
      <c r="D53" s="22"/>
      <c r="E53" s="22"/>
      <c r="F53" s="22"/>
      <c r="G53" s="22"/>
      <c r="H53" s="22"/>
    </row>
    <row r="54" customFormat="false" ht="15" hidden="false" customHeight="true" outlineLevel="0" collapsed="false">
      <c r="A54" s="22" t="s">
        <v>418</v>
      </c>
      <c r="B54" s="22"/>
      <c r="C54" s="22"/>
      <c r="D54" s="22"/>
      <c r="E54" s="22"/>
      <c r="F54" s="22"/>
      <c r="G54" s="22"/>
      <c r="H54" s="22"/>
    </row>
    <row r="55" customFormat="false" ht="15" hidden="false" customHeight="true" outlineLevel="0" collapsed="false">
      <c r="A55" s="22" t="s">
        <v>419</v>
      </c>
      <c r="B55" s="22"/>
      <c r="C55" s="22"/>
      <c r="D55" s="22"/>
      <c r="E55" s="22"/>
      <c r="F55" s="22"/>
      <c r="G55" s="22"/>
      <c r="H55" s="22"/>
    </row>
    <row r="56" customFormat="false" ht="15" hidden="false" customHeight="true" outlineLevel="0" collapsed="false">
      <c r="A56" s="22" t="s">
        <v>420</v>
      </c>
      <c r="B56" s="22"/>
      <c r="C56" s="22"/>
      <c r="D56" s="22"/>
      <c r="E56" s="22"/>
      <c r="F56" s="22"/>
      <c r="G56" s="22"/>
      <c r="H56" s="22"/>
    </row>
    <row r="57" customFormat="false" ht="15" hidden="false" customHeight="true" outlineLevel="0" collapsed="false">
      <c r="A57" s="22" t="s">
        <v>421</v>
      </c>
      <c r="B57" s="22"/>
      <c r="C57" s="22"/>
      <c r="D57" s="22"/>
      <c r="E57" s="22"/>
      <c r="F57" s="22"/>
      <c r="G57" s="22"/>
      <c r="H57" s="22"/>
    </row>
    <row r="58" customFormat="false" ht="15" hidden="false" customHeight="true" outlineLevel="0" collapsed="false">
      <c r="A58" s="22" t="s">
        <v>422</v>
      </c>
      <c r="B58" s="22"/>
      <c r="C58" s="22"/>
      <c r="D58" s="22"/>
      <c r="E58" s="22"/>
      <c r="F58" s="22"/>
      <c r="G58" s="22"/>
      <c r="H58" s="22"/>
    </row>
    <row r="59" customFormat="false" ht="15" hidden="false" customHeight="true" outlineLevel="0" collapsed="false">
      <c r="A59" s="22" t="s">
        <v>423</v>
      </c>
      <c r="B59" s="22"/>
      <c r="C59" s="22"/>
      <c r="D59" s="22"/>
      <c r="E59" s="22"/>
      <c r="F59" s="22"/>
      <c r="G59" s="22"/>
      <c r="H59" s="22"/>
    </row>
    <row r="60" customFormat="false" ht="15" hidden="false" customHeight="true" outlineLevel="0" collapsed="false">
      <c r="A60" s="22" t="s">
        <v>424</v>
      </c>
      <c r="B60" s="22"/>
      <c r="C60" s="22"/>
      <c r="D60" s="22"/>
      <c r="E60" s="22"/>
      <c r="F60" s="22"/>
      <c r="G60" s="22"/>
      <c r="H60" s="22"/>
    </row>
  </sheetData>
  <mergeCells count="26">
    <mergeCell ref="A1:H1"/>
    <mergeCell ref="A2:H2"/>
    <mergeCell ref="A4:A5"/>
    <mergeCell ref="B4:B5"/>
    <mergeCell ref="C4:D4"/>
    <mergeCell ref="E4:F4"/>
    <mergeCell ref="G4:H4"/>
    <mergeCell ref="A7:H7"/>
    <mergeCell ref="A14:H14"/>
    <mergeCell ref="A20:H20"/>
    <mergeCell ref="A24:H24"/>
    <mergeCell ref="A27:H27"/>
    <mergeCell ref="A31:H31"/>
    <mergeCell ref="A37:H37"/>
    <mergeCell ref="A41:H41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  <col collapsed="false" customWidth="true" hidden="false" outlineLevel="0" max="2" min="2" style="1" width="13"/>
    <col collapsed="false" customWidth="true" hidden="false" outlineLevel="0" max="8" min="3" style="1" width="11"/>
  </cols>
  <sheetData>
    <row r="1" customFormat="false" ht="17.25" hidden="false" customHeight="true" outlineLevel="0" collapsed="false">
      <c r="A1" s="2" t="s">
        <v>425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426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77" t="s">
        <v>2</v>
      </c>
      <c r="B4" s="77" t="s">
        <v>365</v>
      </c>
      <c r="C4" s="78" t="s">
        <v>366</v>
      </c>
      <c r="D4" s="78"/>
      <c r="E4" s="77" t="s">
        <v>367</v>
      </c>
      <c r="F4" s="77"/>
      <c r="G4" s="79" t="s">
        <v>368</v>
      </c>
      <c r="H4" s="79"/>
    </row>
    <row r="5" customFormat="false" ht="15" hidden="false" customHeight="true" outlineLevel="0" collapsed="false">
      <c r="A5" s="77"/>
      <c r="B5" s="77"/>
      <c r="C5" s="80" t="s">
        <v>369</v>
      </c>
      <c r="D5" s="80" t="s">
        <v>370</v>
      </c>
      <c r="E5" s="23" t="s">
        <v>369</v>
      </c>
      <c r="F5" s="23" t="s">
        <v>370</v>
      </c>
      <c r="G5" s="81" t="s">
        <v>369</v>
      </c>
      <c r="H5" s="81" t="s">
        <v>370</v>
      </c>
    </row>
    <row r="7" customFormat="false" ht="15" hidden="false" customHeight="true" outlineLevel="0" collapsed="false">
      <c r="A7" s="5" t="s">
        <v>427</v>
      </c>
      <c r="B7" s="5"/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7" t="s">
        <v>389</v>
      </c>
      <c r="B8" s="86" t="n">
        <v>437800</v>
      </c>
      <c r="C8" s="31" t="n">
        <f aca="false">B8*(1+'Premissas Runway'!C15)</f>
        <v>472824</v>
      </c>
      <c r="D8" s="31" t="n">
        <f aca="false">C8*(1+'Premissas Runway'!D15)</f>
        <v>505921.68</v>
      </c>
      <c r="E8" s="31" t="n">
        <f aca="false">B8*(1+'Premissas Runway'!E15)</f>
        <v>450934</v>
      </c>
      <c r="F8" s="31" t="n">
        <f aca="false">E8*(1+'Premissas Runway'!F15)</f>
        <v>464462.02</v>
      </c>
      <c r="G8" s="31" t="n">
        <f aca="false">B8*(1+'Premissas Runway'!G15)</f>
        <v>429044</v>
      </c>
      <c r="H8" s="31" t="n">
        <f aca="false">G8*(1+'Premissas Runway'!H15)</f>
        <v>424753.56</v>
      </c>
    </row>
    <row r="9" customFormat="false" ht="15" hidden="false" customHeight="true" outlineLevel="0" collapsed="false">
      <c r="A9" s="7" t="s">
        <v>390</v>
      </c>
      <c r="B9" s="86" t="n">
        <v>541000</v>
      </c>
      <c r="C9" s="31" t="n">
        <f aca="false">B9*(1+'Premissas Runway'!C16)</f>
        <v>595100</v>
      </c>
      <c r="D9" s="31" t="n">
        <f aca="false">C9*(1+'Premissas Runway'!D16)</f>
        <v>642708</v>
      </c>
      <c r="E9" s="31" t="n">
        <f aca="false">B9*(1+'Premissas Runway'!E16)</f>
        <v>568050</v>
      </c>
      <c r="F9" s="31" t="n">
        <f aca="false">E9*(1+'Premissas Runway'!F16)</f>
        <v>590772</v>
      </c>
      <c r="G9" s="31" t="n">
        <f aca="false">B9*(1+'Premissas Runway'!G16)</f>
        <v>535590</v>
      </c>
      <c r="H9" s="31" t="n">
        <f aca="false">G9*(1+'Premissas Runway'!H16)</f>
        <v>535590</v>
      </c>
    </row>
    <row r="10" customFormat="false" ht="15" hidden="false" customHeight="true" outlineLevel="0" collapsed="false">
      <c r="A10" s="7" t="s">
        <v>391</v>
      </c>
      <c r="B10" s="86" t="n">
        <v>322000</v>
      </c>
      <c r="C10" s="31" t="n">
        <f aca="false">B10*(1+'Premissas Runway'!C17)</f>
        <v>338100</v>
      </c>
      <c r="D10" s="31" t="n">
        <f aca="false">C10*(1+'Premissas Runway'!D17)</f>
        <v>355005</v>
      </c>
      <c r="E10" s="31" t="n">
        <f aca="false">B10*(1+'Premissas Runway'!E17)</f>
        <v>328440</v>
      </c>
      <c r="F10" s="31" t="n">
        <f aca="false">E10*(1+'Premissas Runway'!F17)</f>
        <v>335008.8</v>
      </c>
      <c r="G10" s="31" t="n">
        <f aca="false">B10*(1+'Premissas Runway'!G17)</f>
        <v>315560</v>
      </c>
      <c r="H10" s="31" t="n">
        <f aca="false">G10*(1+'Premissas Runway'!H17)</f>
        <v>312404.4</v>
      </c>
    </row>
    <row r="11" customFormat="false" ht="15" hidden="false" customHeight="true" outlineLevel="0" collapsed="false">
      <c r="A11" s="7" t="s">
        <v>392</v>
      </c>
      <c r="B11" s="86" t="n">
        <v>96000</v>
      </c>
      <c r="C11" s="31" t="n">
        <f aca="false">B11*(1+'Premissas Runway'!C18)</f>
        <v>100800</v>
      </c>
      <c r="D11" s="31" t="n">
        <f aca="false">C11*(1+'Premissas Runway'!D18)</f>
        <v>104832</v>
      </c>
      <c r="E11" s="31" t="n">
        <f aca="false">B11*(1+'Premissas Runway'!E18)</f>
        <v>98880</v>
      </c>
      <c r="F11" s="31" t="n">
        <f aca="false">E11*(1+'Premissas Runway'!F18)</f>
        <v>100857.6</v>
      </c>
      <c r="G11" s="31" t="n">
        <f aca="false">B11*(1+'Premissas Runway'!G18)</f>
        <v>96000</v>
      </c>
      <c r="H11" s="31" t="n">
        <f aca="false">G11*(1+'Premissas Runway'!H18)</f>
        <v>96000</v>
      </c>
    </row>
    <row r="13" customFormat="false" ht="15" hidden="false" customHeight="true" outlineLevel="0" collapsed="false">
      <c r="A13" s="10" t="s">
        <v>428</v>
      </c>
      <c r="B13" s="12" t="n">
        <f aca="false">B8+B9+B10+B11</f>
        <v>1396800</v>
      </c>
      <c r="C13" s="12" t="n">
        <f aca="false">C8+C9+C10+C11</f>
        <v>1506824</v>
      </c>
      <c r="D13" s="12" t="n">
        <f aca="false">D8+D9+D10+D11</f>
        <v>1608466.68</v>
      </c>
      <c r="E13" s="12" t="n">
        <f aca="false">E8+E9+E10+E11</f>
        <v>1446304</v>
      </c>
      <c r="F13" s="12" t="n">
        <f aca="false">F8+F9+F10+F11</f>
        <v>1491100.42</v>
      </c>
      <c r="G13" s="12" t="n">
        <f aca="false">G8+G9+G10+G11</f>
        <v>1376194</v>
      </c>
      <c r="H13" s="12" t="n">
        <f aca="false">H8+H9+H10+H11</f>
        <v>1368747.96</v>
      </c>
    </row>
    <row r="14" customFormat="false" ht="15" hidden="false" customHeight="true" outlineLevel="0" collapsed="false">
      <c r="A14" s="7" t="s">
        <v>429</v>
      </c>
      <c r="B14" s="85" t="n">
        <f aca="false">-B13*0.05</f>
        <v>-69840</v>
      </c>
      <c r="C14" s="31" t="n">
        <f aca="false">-C13*0.05</f>
        <v>-75341.2</v>
      </c>
      <c r="D14" s="31" t="n">
        <f aca="false">-D13*0.05</f>
        <v>-80423.334</v>
      </c>
      <c r="E14" s="31" t="n">
        <f aca="false">-E13*0.05</f>
        <v>-72315.2</v>
      </c>
      <c r="F14" s="31" t="n">
        <f aca="false">-F13*0.05</f>
        <v>-74555.021</v>
      </c>
      <c r="G14" s="31" t="n">
        <f aca="false">-G13*0.05</f>
        <v>-68809.7</v>
      </c>
      <c r="H14" s="31" t="n">
        <f aca="false">-H13*0.05</f>
        <v>-68437.398</v>
      </c>
    </row>
    <row r="15" customFormat="false" ht="15" hidden="false" customHeight="true" outlineLevel="0" collapsed="false">
      <c r="A15" s="27" t="s">
        <v>430</v>
      </c>
      <c r="B15" s="17" t="n">
        <f aca="false">B13+B14</f>
        <v>1326960</v>
      </c>
      <c r="C15" s="17" t="n">
        <f aca="false">C13+C14</f>
        <v>1431482.8</v>
      </c>
      <c r="D15" s="17" t="n">
        <f aca="false">D13+D14</f>
        <v>1528043.346</v>
      </c>
      <c r="E15" s="17" t="n">
        <f aca="false">E13+E14</f>
        <v>1373988.8</v>
      </c>
      <c r="F15" s="17" t="n">
        <f aca="false">F13+F14</f>
        <v>1416545.399</v>
      </c>
      <c r="G15" s="17" t="n">
        <f aca="false">G13+G14</f>
        <v>1307384.3</v>
      </c>
      <c r="H15" s="17" t="n">
        <f aca="false">H13+H14</f>
        <v>1300310.562</v>
      </c>
    </row>
    <row r="17" customFormat="false" ht="15" hidden="false" customHeight="true" outlineLevel="0" collapsed="false">
      <c r="A17" s="5" t="s">
        <v>431</v>
      </c>
      <c r="B17" s="5"/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7" t="s">
        <v>432</v>
      </c>
      <c r="B18" s="86" t="n">
        <f aca="false">'Premissas Runway'!B21</f>
        <v>174200</v>
      </c>
      <c r="C18" s="40" t="n">
        <f aca="false">'Premissas Runway'!C21</f>
        <v>0</v>
      </c>
      <c r="D18" s="40" t="n">
        <f aca="false">'Premissas Runway'!D21</f>
        <v>0</v>
      </c>
      <c r="E18" s="40" t="n">
        <f aca="false">'Premissas Runway'!E21</f>
        <v>0</v>
      </c>
      <c r="F18" s="40" t="n">
        <f aca="false">'Premissas Runway'!F21</f>
        <v>0</v>
      </c>
      <c r="G18" s="40" t="n">
        <f aca="false">'Premissas Runway'!G21</f>
        <v>0</v>
      </c>
      <c r="H18" s="40" t="n">
        <f aca="false">'Premissas Runway'!H21</f>
        <v>0</v>
      </c>
    </row>
    <row r="19" customFormat="false" ht="15" hidden="false" customHeight="true" outlineLevel="0" collapsed="false">
      <c r="A19" s="7" t="s">
        <v>433</v>
      </c>
      <c r="B19" s="86" t="n">
        <f aca="false">'Premissas Runway'!B22</f>
        <v>21600</v>
      </c>
      <c r="C19" s="40" t="n">
        <f aca="false">'Premissas Runway'!C22</f>
        <v>21600</v>
      </c>
      <c r="D19" s="40" t="n">
        <f aca="false">'Premissas Runway'!D22</f>
        <v>21600</v>
      </c>
      <c r="E19" s="40" t="n">
        <f aca="false">'Premissas Runway'!E22</f>
        <v>0</v>
      </c>
      <c r="F19" s="40" t="n">
        <f aca="false">'Premissas Runway'!F22</f>
        <v>21600</v>
      </c>
      <c r="G19" s="40" t="n">
        <f aca="false">'Premissas Runway'!G22</f>
        <v>0</v>
      </c>
      <c r="H19" s="40" t="n">
        <f aca="false">'Premissas Runway'!H22</f>
        <v>0</v>
      </c>
    </row>
    <row r="21" customFormat="false" ht="15" hidden="false" customHeight="true" outlineLevel="0" collapsed="false">
      <c r="A21" s="27" t="s">
        <v>434</v>
      </c>
      <c r="B21" s="17" t="n">
        <f aca="false">B15+B18+B19</f>
        <v>1522760</v>
      </c>
      <c r="C21" s="17" t="n">
        <f aca="false">C15+C18+C19</f>
        <v>1453082.8</v>
      </c>
      <c r="D21" s="17" t="n">
        <f aca="false">D15+D18+D19</f>
        <v>1549643.346</v>
      </c>
      <c r="E21" s="17" t="n">
        <f aca="false">E15+E18+E19</f>
        <v>1373988.8</v>
      </c>
      <c r="F21" s="17" t="n">
        <f aca="false">F15+F18+F19</f>
        <v>1438145.399</v>
      </c>
      <c r="G21" s="17" t="n">
        <f aca="false">G15+G18+G19</f>
        <v>1307384.3</v>
      </c>
      <c r="H21" s="17" t="n">
        <f aca="false">H15+H18+H19</f>
        <v>1300310.562</v>
      </c>
    </row>
    <row r="23" customFormat="false" ht="15" hidden="false" customHeight="true" outlineLevel="0" collapsed="false">
      <c r="A23" s="5" t="s">
        <v>435</v>
      </c>
      <c r="B23" s="5"/>
      <c r="C23" s="5"/>
      <c r="D23" s="5"/>
      <c r="E23" s="5"/>
      <c r="F23" s="5"/>
      <c r="G23" s="5"/>
      <c r="H23" s="5"/>
    </row>
    <row r="24" customFormat="false" ht="15" hidden="false" customHeight="true" outlineLevel="0" collapsed="false">
      <c r="A24" s="7" t="s">
        <v>436</v>
      </c>
      <c r="B24" s="85" t="n">
        <v>-711094</v>
      </c>
      <c r="C24" s="31" t="n">
        <f aca="false">B24*(1+'Premissas Runway'!C25)</f>
        <v>-796425.28</v>
      </c>
      <c r="D24" s="31" t="n">
        <f aca="false">C24*(1+'Premissas Runway'!D25)</f>
        <v>-860139.3024</v>
      </c>
      <c r="E24" s="31" t="n">
        <f aca="false">B24*(1+'Premissas Runway'!E25)</f>
        <v>-760870.58</v>
      </c>
      <c r="F24" s="31" t="n">
        <f aca="false">E24*(1+'Premissas Runway'!F25)</f>
        <v>-798914.109</v>
      </c>
      <c r="G24" s="31" t="n">
        <f aca="false">B24*(1+'Premissas Runway'!G25)</f>
        <v>-739537.76</v>
      </c>
      <c r="H24" s="31" t="n">
        <f aca="false">G24*(1+'Premissas Runway'!H25)</f>
        <v>-754328.5152</v>
      </c>
    </row>
    <row r="25" customFormat="false" ht="15" hidden="false" customHeight="true" outlineLevel="0" collapsed="false">
      <c r="A25" s="7" t="s">
        <v>437</v>
      </c>
      <c r="B25" s="85" t="n">
        <v>-131954</v>
      </c>
      <c r="C25" s="31" t="n">
        <f aca="false">B25*(1+'Premissas Runway'!C32)</f>
        <v>-138551.7</v>
      </c>
      <c r="D25" s="31" t="n">
        <f aca="false">C25*(1+'Premissas Runway'!D32)</f>
        <v>-144093.768</v>
      </c>
      <c r="E25" s="31" t="n">
        <f aca="false">B25*(1+'Premissas Runway'!E32)</f>
        <v>-135912.62</v>
      </c>
      <c r="F25" s="31" t="n">
        <f aca="false">E25*(1+'Premissas Runway'!F32)</f>
        <v>-138630.8724</v>
      </c>
      <c r="G25" s="31" t="n">
        <f aca="false">B25*(1+'Premissas Runway'!G32)</f>
        <v>-125356.3</v>
      </c>
      <c r="H25" s="31" t="n">
        <f aca="false">G25*(1+'Premissas Runway'!H32)</f>
        <v>-121595.611</v>
      </c>
    </row>
    <row r="26" customFormat="false" ht="15" hidden="false" customHeight="true" outlineLevel="0" collapsed="false">
      <c r="A26" s="7" t="s">
        <v>438</v>
      </c>
      <c r="B26" s="85" t="n">
        <v>-142285</v>
      </c>
      <c r="C26" s="31" t="n">
        <f aca="false">B26*(1+'Premissas Runway'!C33)</f>
        <v>-153667.8</v>
      </c>
      <c r="D26" s="31" t="n">
        <f aca="false">C26*(1+'Premissas Runway'!D33)</f>
        <v>-161351.19</v>
      </c>
      <c r="E26" s="31" t="n">
        <f aca="false">B26*(1+'Premissas Runway'!E33)</f>
        <v>-149399.25</v>
      </c>
      <c r="F26" s="31" t="n">
        <f aca="false">E26*(1+'Premissas Runway'!F33)</f>
        <v>-153881.2275</v>
      </c>
      <c r="G26" s="31" t="n">
        <f aca="false">B26*(1+'Premissas Runway'!G33)</f>
        <v>-146553.55</v>
      </c>
      <c r="H26" s="31" t="n">
        <f aca="false">G26*(1+'Premissas Runway'!H33)</f>
        <v>-149484.621</v>
      </c>
    </row>
    <row r="27" customFormat="false" ht="15" hidden="false" customHeight="true" outlineLevel="0" collapsed="false">
      <c r="A27" s="7" t="s">
        <v>439</v>
      </c>
      <c r="B27" s="85" t="n">
        <v>-39610</v>
      </c>
      <c r="C27" s="31" t="n">
        <f aca="false">B27*(1+'Premissas Runway'!C34)</f>
        <v>-41590.5</v>
      </c>
      <c r="D27" s="31" t="n">
        <f aca="false">C27*(1+'Premissas Runway'!D34)</f>
        <v>-43670.025</v>
      </c>
      <c r="E27" s="31" t="n">
        <f aca="false">B27*(1+'Premissas Runway'!E34)</f>
        <v>-40798.3</v>
      </c>
      <c r="F27" s="31" t="n">
        <f aca="false">E27*(1+'Premissas Runway'!F34)</f>
        <v>-42022.249</v>
      </c>
      <c r="G27" s="31" t="n">
        <f aca="false">B27*(1+'Premissas Runway'!G34)</f>
        <v>-39610</v>
      </c>
      <c r="H27" s="31" t="n">
        <f aca="false">G27*(1+'Premissas Runway'!H34)</f>
        <v>-39610</v>
      </c>
    </row>
    <row r="28" customFormat="false" ht="15" hidden="false" customHeight="true" outlineLevel="0" collapsed="false">
      <c r="A28" s="7" t="s">
        <v>440</v>
      </c>
      <c r="B28" s="85" t="n">
        <v>-99844</v>
      </c>
      <c r="C28" s="31" t="n">
        <f aca="false">B28*(1+'Premissas Runway'!C35)</f>
        <v>-104836.2</v>
      </c>
      <c r="D28" s="31" t="n">
        <f aca="false">C28*(1+'Premissas Runway'!D35)</f>
        <v>-109029.648</v>
      </c>
      <c r="E28" s="31" t="n">
        <f aca="false">B28*(1+'Premissas Runway'!E35)</f>
        <v>-102839.32</v>
      </c>
      <c r="F28" s="31" t="n">
        <f aca="false">E28*(1+'Premissas Runway'!F35)</f>
        <v>-104896.1064</v>
      </c>
      <c r="G28" s="31" t="n">
        <f aca="false">B28*(1+'Premissas Runway'!G35)</f>
        <v>-99844</v>
      </c>
      <c r="H28" s="31" t="n">
        <f aca="false">G28*(1+'Premissas Runway'!H35)</f>
        <v>-99844</v>
      </c>
    </row>
    <row r="30" customFormat="false" ht="15" hidden="false" customHeight="true" outlineLevel="0" collapsed="false">
      <c r="A30" s="10" t="s">
        <v>441</v>
      </c>
      <c r="B30" s="12" t="n">
        <f aca="false">SUM(B24:B28)</f>
        <v>-1124787</v>
      </c>
      <c r="C30" s="12" t="n">
        <f aca="false">SUM(C24:C28)</f>
        <v>-1235071.48</v>
      </c>
      <c r="D30" s="12" t="n">
        <f aca="false">SUM(D24:D28)</f>
        <v>-1318283.9334</v>
      </c>
      <c r="E30" s="12" t="n">
        <f aca="false">SUM(E24:E28)</f>
        <v>-1189820.07</v>
      </c>
      <c r="F30" s="12" t="n">
        <f aca="false">SUM(F24:F28)</f>
        <v>-1238344.5643</v>
      </c>
      <c r="G30" s="12" t="n">
        <f aca="false">SUM(G24:G28)</f>
        <v>-1150901.61</v>
      </c>
      <c r="H30" s="12" t="n">
        <f aca="false">SUM(H24:H28)</f>
        <v>-1164862.7472</v>
      </c>
    </row>
    <row r="32" customFormat="false" ht="15" hidden="false" customHeight="true" outlineLevel="0" collapsed="false">
      <c r="A32" s="5" t="s">
        <v>442</v>
      </c>
      <c r="B32" s="5"/>
      <c r="C32" s="5"/>
      <c r="D32" s="5"/>
      <c r="E32" s="5"/>
      <c r="F32" s="5"/>
      <c r="G32" s="5"/>
      <c r="H32" s="5"/>
    </row>
    <row r="33" customFormat="false" ht="15" hidden="false" customHeight="true" outlineLevel="0" collapsed="false">
      <c r="A33" s="10" t="s">
        <v>443</v>
      </c>
      <c r="B33" s="12" t="n">
        <f aca="false">B21+B30</f>
        <v>397973</v>
      </c>
      <c r="C33" s="12" t="n">
        <f aca="false">C21+C30</f>
        <v>218011.32</v>
      </c>
      <c r="D33" s="12" t="n">
        <f aca="false">D21+D30</f>
        <v>231359.4126</v>
      </c>
      <c r="E33" s="12" t="n">
        <f aca="false">E21+E30</f>
        <v>184168.73</v>
      </c>
      <c r="F33" s="12" t="n">
        <f aca="false">F21+F30</f>
        <v>199800.8347</v>
      </c>
      <c r="G33" s="12" t="n">
        <f aca="false">G21+G30</f>
        <v>156482.69</v>
      </c>
      <c r="H33" s="12" t="n">
        <f aca="false">H21+H30</f>
        <v>135447.8148</v>
      </c>
    </row>
    <row r="34" customFormat="false" ht="15" hidden="false" customHeight="true" outlineLevel="0" collapsed="false">
      <c r="A34" s="27" t="s">
        <v>444</v>
      </c>
      <c r="B34" s="17" t="n">
        <f aca="false">B15+B30</f>
        <v>202173</v>
      </c>
      <c r="C34" s="17" t="n">
        <f aca="false">C15+C30</f>
        <v>196411.32</v>
      </c>
      <c r="D34" s="17" t="n">
        <f aca="false">D15+D30</f>
        <v>209759.4126</v>
      </c>
      <c r="E34" s="17" t="n">
        <f aca="false">E15+E30</f>
        <v>184168.73</v>
      </c>
      <c r="F34" s="17" t="n">
        <f aca="false">F15+F30</f>
        <v>178200.8347</v>
      </c>
      <c r="G34" s="17" t="n">
        <f aca="false">G15+G30</f>
        <v>156482.69</v>
      </c>
      <c r="H34" s="17" t="n">
        <f aca="false">H15+H30</f>
        <v>135447.8148</v>
      </c>
    </row>
    <row r="35" customFormat="false" ht="15" hidden="false" customHeight="true" outlineLevel="0" collapsed="false">
      <c r="A35" s="63" t="s">
        <v>445</v>
      </c>
      <c r="B35" s="70" t="n">
        <f aca="false">IFERROR(B34/B15,0)</f>
        <v>0.152358021342015</v>
      </c>
      <c r="C35" s="70" t="n">
        <f aca="false">IFERROR(C34/C15,0)</f>
        <v>0.137208298975021</v>
      </c>
      <c r="D35" s="70" t="n">
        <f aca="false">IFERROR(D34/D15,0)</f>
        <v>0.137273208347847</v>
      </c>
      <c r="E35" s="70" t="n">
        <f aca="false">IFERROR(E34/E15,0)</f>
        <v>0.134039469608486</v>
      </c>
      <c r="F35" s="70" t="n">
        <f aca="false">IFERROR(F34/F15,0)</f>
        <v>0.125799593028081</v>
      </c>
      <c r="G35" s="70" t="n">
        <f aca="false">IFERROR(G34/G15,0)</f>
        <v>0.119691425084422</v>
      </c>
      <c r="H35" s="70" t="n">
        <f aca="false">IFERROR(H34/H15,0)</f>
        <v>0.104165742214436</v>
      </c>
    </row>
    <row r="37" customFormat="false" ht="15" hidden="false" customHeight="true" outlineLevel="0" collapsed="false">
      <c r="A37" s="5" t="s">
        <v>446</v>
      </c>
      <c r="B37" s="5"/>
      <c r="C37" s="5"/>
      <c r="D37" s="5"/>
      <c r="E37" s="5"/>
      <c r="F37" s="5"/>
      <c r="G37" s="5"/>
      <c r="H37" s="5"/>
    </row>
    <row r="38" customFormat="false" ht="15" hidden="false" customHeight="true" outlineLevel="0" collapsed="false">
      <c r="A38" s="7" t="s">
        <v>447</v>
      </c>
      <c r="B38" s="86" t="n">
        <f aca="false">'Premissas Runway'!B29</f>
        <v>518741</v>
      </c>
      <c r="C38" s="40" t="n">
        <f aca="false">'Premissas Runway'!C29</f>
        <v>450000</v>
      </c>
      <c r="D38" s="40" t="n">
        <f aca="false">'Premissas Runway'!D29</f>
        <v>500000</v>
      </c>
      <c r="E38" s="40" t="n">
        <f aca="false">'Premissas Runway'!E29</f>
        <v>300000</v>
      </c>
      <c r="F38" s="40" t="n">
        <f aca="false">'Premissas Runway'!F29</f>
        <v>350000</v>
      </c>
      <c r="G38" s="40" t="n">
        <f aca="false">'Premissas Runway'!G29</f>
        <v>200000</v>
      </c>
      <c r="H38" s="40" t="n">
        <f aca="false">'Premissas Runway'!H29</f>
        <v>200000</v>
      </c>
    </row>
    <row r="39" customFormat="false" ht="15" hidden="false" customHeight="true" outlineLevel="0" collapsed="false">
      <c r="A39" s="63" t="s">
        <v>448</v>
      </c>
      <c r="B39" s="87" t="n">
        <f aca="false">B38*0.51</f>
        <v>264557.91</v>
      </c>
      <c r="C39" s="88" t="n">
        <f aca="false">C38*0.51</f>
        <v>229500</v>
      </c>
      <c r="D39" s="88" t="n">
        <f aca="false">D38*0.51</f>
        <v>255000</v>
      </c>
      <c r="E39" s="88" t="n">
        <f aca="false">E38*0.51</f>
        <v>153000</v>
      </c>
      <c r="F39" s="88" t="n">
        <f aca="false">F38*0.51</f>
        <v>178500</v>
      </c>
      <c r="G39" s="88" t="n">
        <f aca="false">G38*0.51</f>
        <v>102000</v>
      </c>
      <c r="H39" s="88" t="n">
        <f aca="false">H38*0.51</f>
        <v>102000</v>
      </c>
    </row>
    <row r="40" customFormat="false" ht="15" hidden="false" customHeight="true" outlineLevel="0" collapsed="false">
      <c r="A40" s="7" t="s">
        <v>449</v>
      </c>
      <c r="B40" s="86" t="n">
        <f aca="false">'Premissas Runway'!B43+'Premissas Runway'!B45</f>
        <v>20949</v>
      </c>
      <c r="C40" s="40" t="n">
        <f aca="false">'Premissas Runway'!C43+'Premissas Runway'!C45</f>
        <v>20000</v>
      </c>
      <c r="D40" s="40" t="n">
        <f aca="false">'Premissas Runway'!D43+'Premissas Runway'!D45</f>
        <v>21000</v>
      </c>
      <c r="E40" s="40" t="n">
        <f aca="false">'Premissas Runway'!E43+'Premissas Runway'!E45</f>
        <v>14000</v>
      </c>
      <c r="F40" s="40" t="n">
        <f aca="false">'Premissas Runway'!F43+'Premissas Runway'!F45</f>
        <v>14000</v>
      </c>
      <c r="G40" s="40" t="n">
        <f aca="false">'Premissas Runway'!G43+'Premissas Runway'!G45</f>
        <v>8000</v>
      </c>
      <c r="H40" s="40" t="n">
        <f aca="false">'Premissas Runway'!H43+'Premissas Runway'!H45</f>
        <v>6500</v>
      </c>
    </row>
    <row r="41" customFormat="false" ht="15" hidden="false" customHeight="true" outlineLevel="0" collapsed="false">
      <c r="A41" s="7" t="s">
        <v>450</v>
      </c>
      <c r="B41" s="86" t="n">
        <f aca="false">'Premissas Runway'!B42</f>
        <v>6991</v>
      </c>
      <c r="C41" s="40" t="n">
        <f aca="false">'Premissas Runway'!C42</f>
        <v>10000</v>
      </c>
      <c r="D41" s="40" t="n">
        <f aca="false">'Premissas Runway'!D42</f>
        <v>5000</v>
      </c>
      <c r="E41" s="40" t="n">
        <f aca="false">'Premissas Runway'!E42</f>
        <v>0</v>
      </c>
      <c r="F41" s="40" t="n">
        <f aca="false">'Premissas Runway'!F42</f>
        <v>-5000</v>
      </c>
      <c r="G41" s="40" t="n">
        <f aca="false">'Premissas Runway'!G42</f>
        <v>-15000</v>
      </c>
      <c r="H41" s="40" t="n">
        <f aca="false">'Premissas Runway'!H42</f>
        <v>-20000</v>
      </c>
    </row>
    <row r="43" customFormat="false" ht="15" hidden="false" customHeight="true" outlineLevel="0" collapsed="false">
      <c r="A43" s="5" t="s">
        <v>451</v>
      </c>
      <c r="B43" s="5"/>
      <c r="C43" s="5"/>
      <c r="D43" s="5"/>
      <c r="E43" s="5"/>
      <c r="F43" s="5"/>
      <c r="G43" s="5"/>
      <c r="H43" s="5"/>
    </row>
    <row r="44" customFormat="false" ht="15" hidden="false" customHeight="true" outlineLevel="0" collapsed="false">
      <c r="A44" s="7" t="s">
        <v>452</v>
      </c>
      <c r="B44" s="86" t="n">
        <f aca="false">-'Premissas Runway'!B28</f>
        <v>-635605</v>
      </c>
      <c r="C44" s="40" t="n">
        <f aca="false">-'Premissas Runway'!C28</f>
        <v>-600000</v>
      </c>
      <c r="D44" s="40" t="n">
        <f aca="false">-'Premissas Runway'!D28</f>
        <v>-550000</v>
      </c>
      <c r="E44" s="40" t="n">
        <f aca="false">-'Premissas Runway'!E28</f>
        <v>-450000</v>
      </c>
      <c r="F44" s="40" t="n">
        <f aca="false">-'Premissas Runway'!F28</f>
        <v>-400000</v>
      </c>
      <c r="G44" s="40" t="n">
        <f aca="false">-'Premissas Runway'!G28</f>
        <v>-320000</v>
      </c>
      <c r="H44" s="40" t="n">
        <f aca="false">-'Premissas Runway'!H28</f>
        <v>-250000</v>
      </c>
    </row>
    <row r="45" customFormat="false" ht="15" hidden="false" customHeight="true" outlineLevel="0" collapsed="false">
      <c r="A45" s="63" t="s">
        <v>453</v>
      </c>
      <c r="B45" s="87" t="n">
        <f aca="false">B44*0.8</f>
        <v>-508484</v>
      </c>
      <c r="C45" s="88" t="n">
        <f aca="false">C44*0.8</f>
        <v>-480000</v>
      </c>
      <c r="D45" s="88" t="n">
        <f aca="false">D44*0.8</f>
        <v>-440000</v>
      </c>
      <c r="E45" s="88" t="n">
        <f aca="false">E44*0.8</f>
        <v>-360000</v>
      </c>
      <c r="F45" s="88" t="n">
        <f aca="false">F44*0.8</f>
        <v>-320000</v>
      </c>
      <c r="G45" s="88" t="n">
        <f aca="false">G44*0.8</f>
        <v>-256000</v>
      </c>
      <c r="H45" s="88" t="n">
        <f aca="false">H44*0.8</f>
        <v>-200000</v>
      </c>
    </row>
    <row r="47" customFormat="false" ht="15" hidden="false" customHeight="true" outlineLevel="0" collapsed="false">
      <c r="A47" s="5" t="s">
        <v>454</v>
      </c>
      <c r="B47" s="5"/>
      <c r="C47" s="5"/>
      <c r="D47" s="5"/>
      <c r="E47" s="5"/>
      <c r="F47" s="5"/>
      <c r="G47" s="5"/>
      <c r="H47" s="5"/>
    </row>
    <row r="48" customFormat="false" ht="15" hidden="false" customHeight="true" outlineLevel="0" collapsed="false">
      <c r="A48" s="10" t="s">
        <v>455</v>
      </c>
      <c r="B48" s="12" t="n">
        <f aca="false">B33+B39+B40+B41</f>
        <v>690470.91</v>
      </c>
      <c r="C48" s="12" t="n">
        <f aca="false">C33+C39+C40+C41</f>
        <v>477511.32</v>
      </c>
      <c r="D48" s="12" t="n">
        <f aca="false">D33+D39+D40+D41</f>
        <v>512359.4126</v>
      </c>
      <c r="E48" s="12" t="n">
        <f aca="false">E33+E39+E40+E41</f>
        <v>351168.73</v>
      </c>
      <c r="F48" s="12" t="n">
        <f aca="false">F33+F39+F40+F41</f>
        <v>387300.8347</v>
      </c>
      <c r="G48" s="12" t="n">
        <f aca="false">G33+G39+G40+G41</f>
        <v>251482.69</v>
      </c>
      <c r="H48" s="12" t="n">
        <f aca="false">H33+H39+H40+H41</f>
        <v>223947.8148</v>
      </c>
    </row>
    <row r="49" customFormat="false" ht="15" hidden="false" customHeight="true" outlineLevel="0" collapsed="false">
      <c r="A49" s="7" t="s">
        <v>456</v>
      </c>
      <c r="B49" s="85" t="n">
        <f aca="false">B45</f>
        <v>-508484</v>
      </c>
      <c r="C49" s="31" t="n">
        <f aca="false">C45</f>
        <v>-480000</v>
      </c>
      <c r="D49" s="31" t="n">
        <f aca="false">D45</f>
        <v>-440000</v>
      </c>
      <c r="E49" s="31" t="n">
        <f aca="false">E45</f>
        <v>-360000</v>
      </c>
      <c r="F49" s="31" t="n">
        <f aca="false">F45</f>
        <v>-320000</v>
      </c>
      <c r="G49" s="31" t="n">
        <f aca="false">G45</f>
        <v>-256000</v>
      </c>
      <c r="H49" s="31" t="n">
        <f aca="false">H45</f>
        <v>-200000</v>
      </c>
    </row>
    <row r="50" customFormat="false" ht="15" hidden="false" customHeight="true" outlineLevel="0" collapsed="false">
      <c r="A50" s="7" t="s">
        <v>457</v>
      </c>
      <c r="B50" s="86" t="n">
        <f aca="false">-'Premissas Runway'!B46</f>
        <v>-8758</v>
      </c>
      <c r="C50" s="40" t="n">
        <f aca="false">-'Premissas Runway'!C46</f>
        <v>-15832</v>
      </c>
      <c r="D50" s="40" t="n">
        <f aca="false">-'Premissas Runway'!D46</f>
        <v>-15832</v>
      </c>
      <c r="E50" s="40" t="n">
        <f aca="false">-'Premissas Runway'!E46</f>
        <v>-15832</v>
      </c>
      <c r="F50" s="40" t="n">
        <f aca="false">-'Premissas Runway'!F46</f>
        <v>-15832</v>
      </c>
      <c r="G50" s="40" t="n">
        <f aca="false">-'Premissas Runway'!G46</f>
        <v>-15832</v>
      </c>
      <c r="H50" s="40" t="n">
        <f aca="false">-'Premissas Runway'!H46</f>
        <v>-15832</v>
      </c>
    </row>
    <row r="51" customFormat="false" ht="15" hidden="false" customHeight="true" outlineLevel="0" collapsed="false">
      <c r="A51" s="7" t="s">
        <v>458</v>
      </c>
      <c r="B51" s="86" t="n">
        <f aca="false">-'Premissas Runway'!B47</f>
        <v>-20061</v>
      </c>
      <c r="C51" s="40" t="n">
        <f aca="false">-'Premissas Runway'!C47</f>
        <v>-22000</v>
      </c>
      <c r="D51" s="40" t="n">
        <f aca="false">-'Premissas Runway'!D47</f>
        <v>-23000</v>
      </c>
      <c r="E51" s="40" t="n">
        <f aca="false">-'Premissas Runway'!E47</f>
        <v>-22000</v>
      </c>
      <c r="F51" s="40" t="n">
        <f aca="false">-'Premissas Runway'!F47</f>
        <v>-23000</v>
      </c>
      <c r="G51" s="40" t="n">
        <f aca="false">-'Premissas Runway'!G47</f>
        <v>-22000</v>
      </c>
      <c r="H51" s="40" t="n">
        <f aca="false">-'Premissas Runway'!H47</f>
        <v>-23000</v>
      </c>
    </row>
    <row r="53" customFormat="false" ht="15" hidden="false" customHeight="true" outlineLevel="0" collapsed="false">
      <c r="A53" s="5" t="s">
        <v>459</v>
      </c>
      <c r="B53" s="5"/>
      <c r="C53" s="5"/>
      <c r="D53" s="5"/>
      <c r="E53" s="5"/>
      <c r="F53" s="5"/>
      <c r="G53" s="5"/>
      <c r="H53" s="5"/>
    </row>
    <row r="54" customFormat="false" ht="15" hidden="false" customHeight="true" outlineLevel="0" collapsed="false">
      <c r="A54" s="15" t="s">
        <v>214</v>
      </c>
      <c r="B54" s="17" t="n">
        <f aca="false">B48+B49+B50+B51</f>
        <v>153167.91</v>
      </c>
      <c r="C54" s="17" t="n">
        <f aca="false">C48+C49+C50+C51</f>
        <v>-40320.6799999999</v>
      </c>
      <c r="D54" s="17" t="n">
        <f aca="false">D48+D49+D50+D51</f>
        <v>33527.4125999999</v>
      </c>
      <c r="E54" s="17" t="n">
        <f aca="false">E48+E49+E50+E51</f>
        <v>-46663.27</v>
      </c>
      <c r="F54" s="17" t="n">
        <f aca="false">F48+F49+F50+F51</f>
        <v>28468.8347000002</v>
      </c>
      <c r="G54" s="17" t="n">
        <f aca="false">G48+G49+G50+G51</f>
        <v>-42349.3100000001</v>
      </c>
      <c r="H54" s="17" t="n">
        <f aca="false">H48+H49+H50+H51</f>
        <v>-14884.1852000002</v>
      </c>
    </row>
    <row r="55" customFormat="false" ht="15" hidden="false" customHeight="true" outlineLevel="0" collapsed="false">
      <c r="A55" s="7" t="s">
        <v>460</v>
      </c>
      <c r="B55" s="86" t="n">
        <f aca="false">BP!H7+BP!H8</f>
        <v>242854</v>
      </c>
      <c r="C55" s="31" t="n">
        <f aca="false">BP!H7+BP!H8</f>
        <v>242854</v>
      </c>
      <c r="D55" s="31" t="n">
        <f aca="false">C56</f>
        <v>202533.32</v>
      </c>
      <c r="E55" s="31" t="n">
        <f aca="false">BP!H7+BP!H8</f>
        <v>242854</v>
      </c>
      <c r="F55" s="31" t="n">
        <f aca="false">E56</f>
        <v>196190.73</v>
      </c>
      <c r="G55" s="31" t="n">
        <f aca="false">BP!H7+BP!H8</f>
        <v>242854</v>
      </c>
      <c r="H55" s="31" t="n">
        <f aca="false">G56</f>
        <v>200504.69</v>
      </c>
    </row>
    <row r="56" customFormat="false" ht="15" hidden="false" customHeight="true" outlineLevel="0" collapsed="false">
      <c r="A56" s="15" t="s">
        <v>461</v>
      </c>
      <c r="B56" s="17" t="n">
        <f aca="false">B55+0</f>
        <v>242854</v>
      </c>
      <c r="C56" s="17" t="n">
        <f aca="false">C55+C54</f>
        <v>202533.32</v>
      </c>
      <c r="D56" s="17" t="n">
        <f aca="false">D55+D54</f>
        <v>236060.7326</v>
      </c>
      <c r="E56" s="17" t="n">
        <f aca="false">E55+E54</f>
        <v>196190.73</v>
      </c>
      <c r="F56" s="17" t="n">
        <f aca="false">F55+F54</f>
        <v>224659.5647</v>
      </c>
      <c r="G56" s="17" t="n">
        <f aca="false">G55+G54</f>
        <v>200504.69</v>
      </c>
      <c r="H56" s="17" t="n">
        <f aca="false">H55+H54</f>
        <v>185620.5048</v>
      </c>
    </row>
    <row r="58" customFormat="false" ht="15" hidden="false" customHeight="true" outlineLevel="0" collapsed="false">
      <c r="A58" s="21" t="s">
        <v>65</v>
      </c>
    </row>
    <row r="59" customFormat="false" ht="15" hidden="false" customHeight="true" outlineLevel="0" collapsed="false">
      <c r="A59" s="22" t="s">
        <v>462</v>
      </c>
      <c r="B59" s="22"/>
      <c r="C59" s="22"/>
      <c r="D59" s="22"/>
      <c r="E59" s="22"/>
      <c r="F59" s="22"/>
      <c r="G59" s="22"/>
      <c r="H59" s="22"/>
    </row>
    <row r="60" customFormat="false" ht="15" hidden="false" customHeight="true" outlineLevel="0" collapsed="false">
      <c r="A60" s="22" t="s">
        <v>463</v>
      </c>
      <c r="B60" s="22"/>
      <c r="C60" s="22"/>
      <c r="D60" s="22"/>
      <c r="E60" s="22"/>
      <c r="F60" s="22"/>
      <c r="G60" s="22"/>
      <c r="H60" s="22"/>
    </row>
    <row r="61" customFormat="false" ht="15" hidden="false" customHeight="true" outlineLevel="0" collapsed="false">
      <c r="A61" s="22" t="s">
        <v>464</v>
      </c>
      <c r="B61" s="22"/>
      <c r="C61" s="22"/>
      <c r="D61" s="22"/>
      <c r="E61" s="22"/>
      <c r="F61" s="22"/>
      <c r="G61" s="22"/>
      <c r="H61" s="22"/>
    </row>
    <row r="62" customFormat="false" ht="15" hidden="false" customHeight="true" outlineLevel="0" collapsed="false">
      <c r="A62" s="22" t="s">
        <v>465</v>
      </c>
      <c r="B62" s="22"/>
      <c r="C62" s="22"/>
      <c r="D62" s="22"/>
      <c r="E62" s="22"/>
      <c r="F62" s="22"/>
      <c r="G62" s="22"/>
      <c r="H62" s="22"/>
    </row>
    <row r="63" customFormat="false" ht="15" hidden="false" customHeight="true" outlineLevel="0" collapsed="false">
      <c r="A63" s="22" t="s">
        <v>466</v>
      </c>
      <c r="B63" s="22"/>
      <c r="C63" s="22"/>
      <c r="D63" s="22"/>
      <c r="E63" s="22"/>
      <c r="F63" s="22"/>
      <c r="G63" s="22"/>
      <c r="H63" s="22"/>
    </row>
    <row r="64" customFormat="false" ht="15" hidden="false" customHeight="true" outlineLevel="0" collapsed="false">
      <c r="A64" s="22" t="s">
        <v>467</v>
      </c>
      <c r="B64" s="22"/>
      <c r="C64" s="22"/>
      <c r="D64" s="22"/>
      <c r="E64" s="22"/>
      <c r="F64" s="22"/>
      <c r="G64" s="22"/>
      <c r="H64" s="22"/>
    </row>
    <row r="65" customFormat="false" ht="15" hidden="false" customHeight="true" outlineLevel="0" collapsed="false">
      <c r="A65" s="22" t="s">
        <v>468</v>
      </c>
      <c r="B65" s="22"/>
      <c r="C65" s="22"/>
      <c r="D65" s="22"/>
      <c r="E65" s="22"/>
      <c r="F65" s="22"/>
      <c r="G65" s="22"/>
      <c r="H65" s="22"/>
    </row>
    <row r="66" customFormat="false" ht="15" hidden="false" customHeight="true" outlineLevel="0" collapsed="false">
      <c r="A66" s="22" t="s">
        <v>469</v>
      </c>
      <c r="B66" s="22"/>
      <c r="C66" s="22"/>
      <c r="D66" s="22"/>
      <c r="E66" s="22"/>
      <c r="F66" s="22"/>
      <c r="G66" s="22"/>
      <c r="H66" s="22"/>
    </row>
    <row r="67" customFormat="false" ht="15" hidden="false" customHeight="true" outlineLevel="0" collapsed="false">
      <c r="A67" s="22" t="s">
        <v>470</v>
      </c>
      <c r="B67" s="22"/>
      <c r="C67" s="22"/>
      <c r="D67" s="22"/>
      <c r="E67" s="22"/>
      <c r="F67" s="22"/>
      <c r="G67" s="22"/>
      <c r="H67" s="22"/>
    </row>
    <row r="68" customFormat="false" ht="15" hidden="false" customHeight="true" outlineLevel="0" collapsed="false">
      <c r="A68" s="22" t="s">
        <v>471</v>
      </c>
      <c r="B68" s="22"/>
      <c r="C68" s="22"/>
      <c r="D68" s="22"/>
      <c r="E68" s="22"/>
      <c r="F68" s="22"/>
      <c r="G68" s="22"/>
      <c r="H68" s="22"/>
    </row>
  </sheetData>
  <mergeCells count="25">
    <mergeCell ref="A1:H1"/>
    <mergeCell ref="A2:H2"/>
    <mergeCell ref="A4:A5"/>
    <mergeCell ref="B4:B5"/>
    <mergeCell ref="C4:D4"/>
    <mergeCell ref="E4:F4"/>
    <mergeCell ref="G4:H4"/>
    <mergeCell ref="A7:H7"/>
    <mergeCell ref="A17:H17"/>
    <mergeCell ref="A23:H23"/>
    <mergeCell ref="A32:H32"/>
    <mergeCell ref="A37:H37"/>
    <mergeCell ref="A43:H43"/>
    <mergeCell ref="A47:H47"/>
    <mergeCell ref="A53:H53"/>
    <mergeCell ref="A59:H59"/>
    <mergeCell ref="A60:H60"/>
    <mergeCell ref="A61:H61"/>
    <mergeCell ref="A62:H62"/>
    <mergeCell ref="A63:H63"/>
    <mergeCell ref="A64:H64"/>
    <mergeCell ref="A65:H65"/>
    <mergeCell ref="A66:H66"/>
    <mergeCell ref="A67:H67"/>
    <mergeCell ref="A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3"/>
    <col collapsed="false" customWidth="true" hidden="false" outlineLevel="0" max="8" min="3" style="1" width="12"/>
  </cols>
  <sheetData>
    <row r="1" customFormat="false" ht="17.25" hidden="false" customHeight="true" outlineLevel="0" collapsed="false">
      <c r="A1" s="2" t="s">
        <v>472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473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77" t="s">
        <v>293</v>
      </c>
      <c r="B4" s="77" t="s">
        <v>474</v>
      </c>
      <c r="C4" s="78" t="s">
        <v>475</v>
      </c>
      <c r="D4" s="78"/>
      <c r="E4" s="77" t="s">
        <v>476</v>
      </c>
      <c r="F4" s="77"/>
      <c r="G4" s="79" t="s">
        <v>477</v>
      </c>
      <c r="H4" s="79"/>
    </row>
    <row r="5" customFormat="false" ht="15" hidden="false" customHeight="true" outlineLevel="0" collapsed="false">
      <c r="A5" s="77"/>
      <c r="B5" s="77"/>
      <c r="C5" s="80" t="s">
        <v>369</v>
      </c>
      <c r="D5" s="80" t="s">
        <v>370</v>
      </c>
      <c r="E5" s="23" t="s">
        <v>369</v>
      </c>
      <c r="F5" s="23" t="s">
        <v>370</v>
      </c>
      <c r="G5" s="81" t="s">
        <v>369</v>
      </c>
      <c r="H5" s="81" t="s">
        <v>370</v>
      </c>
    </row>
    <row r="7" customFormat="false" ht="15" hidden="false" customHeight="true" outlineLevel="0" collapsed="false">
      <c r="A7" s="5" t="s">
        <v>478</v>
      </c>
      <c r="B7" s="5"/>
      <c r="C7" s="5"/>
      <c r="D7" s="5"/>
      <c r="E7" s="5"/>
      <c r="F7" s="5"/>
      <c r="G7" s="5"/>
      <c r="H7" s="5"/>
    </row>
    <row r="8" customFormat="false" ht="15" hidden="false" customHeight="true" outlineLevel="0" collapsed="false">
      <c r="A8" s="67" t="s">
        <v>479</v>
      </c>
      <c r="B8" s="12" t="n">
        <f aca="false">'Modelo Runway'!B15</f>
        <v>1326960</v>
      </c>
      <c r="C8" s="12" t="n">
        <f aca="false">'Modelo Runway'!C15</f>
        <v>1431482.8</v>
      </c>
      <c r="D8" s="12" t="n">
        <f aca="false">'Modelo Runway'!D15</f>
        <v>1528043.346</v>
      </c>
      <c r="E8" s="12" t="n">
        <f aca="false">'Modelo Runway'!E15</f>
        <v>1373988.8</v>
      </c>
      <c r="F8" s="12" t="n">
        <f aca="false">'Modelo Runway'!F15</f>
        <v>1416545.399</v>
      </c>
      <c r="G8" s="12" t="n">
        <f aca="false">'Modelo Runway'!G15</f>
        <v>1307384.3</v>
      </c>
      <c r="H8" s="12" t="n">
        <f aca="false">'Modelo Runway'!H15</f>
        <v>1300310.562</v>
      </c>
    </row>
    <row r="9" customFormat="false" ht="15" hidden="false" customHeight="true" outlineLevel="0" collapsed="false">
      <c r="A9" s="7" t="s">
        <v>480</v>
      </c>
      <c r="B9" s="40" t="n">
        <f aca="false">'Modelo Runway'!B18</f>
        <v>174200</v>
      </c>
      <c r="C9" s="40" t="n">
        <f aca="false">'Modelo Runway'!C18</f>
        <v>0</v>
      </c>
      <c r="D9" s="40" t="n">
        <f aca="false">'Modelo Runway'!D18</f>
        <v>0</v>
      </c>
      <c r="E9" s="40" t="n">
        <f aca="false">'Modelo Runway'!E18</f>
        <v>0</v>
      </c>
      <c r="F9" s="40" t="n">
        <f aca="false">'Modelo Runway'!F18</f>
        <v>0</v>
      </c>
      <c r="G9" s="40" t="n">
        <f aca="false">'Modelo Runway'!G18</f>
        <v>0</v>
      </c>
      <c r="H9" s="40" t="n">
        <f aca="false">'Modelo Runway'!H18</f>
        <v>0</v>
      </c>
    </row>
    <row r="10" customFormat="false" ht="15" hidden="false" customHeight="true" outlineLevel="0" collapsed="false">
      <c r="A10" s="7" t="s">
        <v>481</v>
      </c>
      <c r="B10" s="40" t="n">
        <f aca="false">'Modelo Runway'!B19</f>
        <v>21600</v>
      </c>
      <c r="C10" s="40" t="n">
        <f aca="false">'Modelo Runway'!C19</f>
        <v>21600</v>
      </c>
      <c r="D10" s="40" t="n">
        <f aca="false">'Modelo Runway'!D19</f>
        <v>21600</v>
      </c>
      <c r="E10" s="40" t="n">
        <f aca="false">'Modelo Runway'!E19</f>
        <v>0</v>
      </c>
      <c r="F10" s="40" t="n">
        <f aca="false">'Modelo Runway'!F19</f>
        <v>21600</v>
      </c>
      <c r="G10" s="40" t="n">
        <f aca="false">'Modelo Runway'!G19</f>
        <v>0</v>
      </c>
      <c r="H10" s="40" t="n">
        <f aca="false">'Modelo Runway'!H19</f>
        <v>0</v>
      </c>
    </row>
    <row r="11" customFormat="false" ht="15" hidden="false" customHeight="true" outlineLevel="0" collapsed="false">
      <c r="A11" s="89" t="s">
        <v>482</v>
      </c>
      <c r="B11" s="17" t="n">
        <f aca="false">'Modelo Runway'!B21</f>
        <v>1522760</v>
      </c>
      <c r="C11" s="17" t="n">
        <f aca="false">'Modelo Runway'!C21</f>
        <v>1453082.8</v>
      </c>
      <c r="D11" s="17" t="n">
        <f aca="false">'Modelo Runway'!D21</f>
        <v>1549643.346</v>
      </c>
      <c r="E11" s="17" t="n">
        <f aca="false">'Modelo Runway'!E21</f>
        <v>1373988.8</v>
      </c>
      <c r="F11" s="17" t="n">
        <f aca="false">'Modelo Runway'!F21</f>
        <v>1438145.399</v>
      </c>
      <c r="G11" s="17" t="n">
        <f aca="false">'Modelo Runway'!G21</f>
        <v>1307384.3</v>
      </c>
      <c r="H11" s="17" t="n">
        <f aca="false">'Modelo Runway'!H21</f>
        <v>1300310.562</v>
      </c>
    </row>
    <row r="13" customFormat="false" ht="15" hidden="false" customHeight="true" outlineLevel="0" collapsed="false">
      <c r="A13" s="5" t="s">
        <v>483</v>
      </c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67" t="s">
        <v>484</v>
      </c>
      <c r="B14" s="12" t="n">
        <f aca="false">'Modelo Runway'!B33</f>
        <v>397973</v>
      </c>
      <c r="C14" s="12" t="n">
        <f aca="false">'Modelo Runway'!C33</f>
        <v>218011.32</v>
      </c>
      <c r="D14" s="12" t="n">
        <f aca="false">'Modelo Runway'!D33</f>
        <v>231359.4126</v>
      </c>
      <c r="E14" s="12" t="n">
        <f aca="false">'Modelo Runway'!E33</f>
        <v>184168.73</v>
      </c>
      <c r="F14" s="12" t="n">
        <f aca="false">'Modelo Runway'!F33</f>
        <v>199800.8347</v>
      </c>
      <c r="G14" s="12" t="n">
        <f aca="false">'Modelo Runway'!G33</f>
        <v>156482.69</v>
      </c>
      <c r="H14" s="12" t="n">
        <f aca="false">'Modelo Runway'!H33</f>
        <v>135447.8148</v>
      </c>
    </row>
    <row r="15" customFormat="false" ht="15" hidden="false" customHeight="true" outlineLevel="0" collapsed="false">
      <c r="A15" s="89" t="s">
        <v>444</v>
      </c>
      <c r="B15" s="17" t="n">
        <f aca="false">'Modelo Runway'!B34</f>
        <v>202173</v>
      </c>
      <c r="C15" s="17" t="n">
        <f aca="false">'Modelo Runway'!C34</f>
        <v>196411.32</v>
      </c>
      <c r="D15" s="17" t="n">
        <f aca="false">'Modelo Runway'!D34</f>
        <v>209759.4126</v>
      </c>
      <c r="E15" s="17" t="n">
        <f aca="false">'Modelo Runway'!E34</f>
        <v>184168.73</v>
      </c>
      <c r="F15" s="17" t="n">
        <f aca="false">'Modelo Runway'!F34</f>
        <v>178200.8347</v>
      </c>
      <c r="G15" s="17" t="n">
        <f aca="false">'Modelo Runway'!G34</f>
        <v>156482.69</v>
      </c>
      <c r="H15" s="17" t="n">
        <f aca="false">'Modelo Runway'!H34</f>
        <v>135447.8148</v>
      </c>
    </row>
    <row r="16" customFormat="false" ht="15" hidden="false" customHeight="true" outlineLevel="0" collapsed="false">
      <c r="A16" s="7" t="s">
        <v>317</v>
      </c>
      <c r="B16" s="71" t="n">
        <f aca="false">'Modelo Runway'!B35</f>
        <v>0.152358021342015</v>
      </c>
      <c r="C16" s="71" t="n">
        <f aca="false">'Modelo Runway'!C35</f>
        <v>0.137208298975021</v>
      </c>
      <c r="D16" s="71" t="n">
        <f aca="false">'Modelo Runway'!D35</f>
        <v>0.137273208347847</v>
      </c>
      <c r="E16" s="71" t="n">
        <f aca="false">'Modelo Runway'!E35</f>
        <v>0.134039469608486</v>
      </c>
      <c r="F16" s="71" t="n">
        <f aca="false">'Modelo Runway'!F35</f>
        <v>0.125799593028081</v>
      </c>
      <c r="G16" s="71" t="n">
        <f aca="false">'Modelo Runway'!G35</f>
        <v>0.119691425084422</v>
      </c>
      <c r="H16" s="71" t="n">
        <f aca="false">'Modelo Runway'!H35</f>
        <v>0.104165742214436</v>
      </c>
    </row>
    <row r="18" customFormat="false" ht="15" hidden="false" customHeight="true" outlineLevel="0" collapsed="false">
      <c r="A18" s="5" t="s">
        <v>485</v>
      </c>
      <c r="B18" s="5"/>
      <c r="C18" s="5"/>
      <c r="D18" s="5"/>
      <c r="E18" s="5"/>
      <c r="F18" s="5"/>
      <c r="G18" s="5"/>
      <c r="H18" s="5"/>
    </row>
    <row r="19" customFormat="false" ht="15" hidden="false" customHeight="true" outlineLevel="0" collapsed="false">
      <c r="A19" s="7" t="s">
        <v>486</v>
      </c>
      <c r="B19" s="40" t="n">
        <f aca="false">'Modelo Runway'!B38</f>
        <v>518741</v>
      </c>
      <c r="C19" s="40" t="n">
        <f aca="false">'Modelo Runway'!C38</f>
        <v>450000</v>
      </c>
      <c r="D19" s="40" t="n">
        <f aca="false">'Modelo Runway'!D38</f>
        <v>500000</v>
      </c>
      <c r="E19" s="40" t="n">
        <f aca="false">'Modelo Runway'!E38</f>
        <v>300000</v>
      </c>
      <c r="F19" s="40" t="n">
        <f aca="false">'Modelo Runway'!F38</f>
        <v>350000</v>
      </c>
      <c r="G19" s="40" t="n">
        <f aca="false">'Modelo Runway'!G38</f>
        <v>200000</v>
      </c>
      <c r="H19" s="40" t="n">
        <f aca="false">'Modelo Runway'!H38</f>
        <v>200000</v>
      </c>
    </row>
    <row r="20" customFormat="false" ht="15" hidden="false" customHeight="true" outlineLevel="0" collapsed="false">
      <c r="A20" s="7" t="s">
        <v>487</v>
      </c>
      <c r="B20" s="40" t="n">
        <f aca="false">'Modelo Runway'!B44</f>
        <v>-635605</v>
      </c>
      <c r="C20" s="40" t="n">
        <f aca="false">'Modelo Runway'!C44</f>
        <v>-600000</v>
      </c>
      <c r="D20" s="40" t="n">
        <f aca="false">'Modelo Runway'!D44</f>
        <v>-550000</v>
      </c>
      <c r="E20" s="40" t="n">
        <f aca="false">'Modelo Runway'!E44</f>
        <v>-450000</v>
      </c>
      <c r="F20" s="40" t="n">
        <f aca="false">'Modelo Runway'!F44</f>
        <v>-400000</v>
      </c>
      <c r="G20" s="40" t="n">
        <f aca="false">'Modelo Runway'!G44</f>
        <v>-320000</v>
      </c>
      <c r="H20" s="40" t="n">
        <f aca="false">'Modelo Runway'!H44</f>
        <v>-250000</v>
      </c>
    </row>
    <row r="21" customFormat="false" ht="15" hidden="false" customHeight="true" outlineLevel="0" collapsed="false">
      <c r="A21" s="67" t="s">
        <v>488</v>
      </c>
      <c r="B21" s="12" t="n">
        <f aca="false">-'Modelo Runway'!B44-'Modelo Runway'!B38</f>
        <v>116864</v>
      </c>
      <c r="C21" s="12" t="n">
        <f aca="false">-'Modelo Runway'!C44-'Modelo Runway'!C38</f>
        <v>150000</v>
      </c>
      <c r="D21" s="12" t="n">
        <f aca="false">-'Modelo Runway'!D44-'Modelo Runway'!D38</f>
        <v>50000</v>
      </c>
      <c r="E21" s="12" t="n">
        <f aca="false">-'Modelo Runway'!E44-'Modelo Runway'!E38</f>
        <v>150000</v>
      </c>
      <c r="F21" s="12" t="n">
        <f aca="false">-'Modelo Runway'!F44-'Modelo Runway'!F38</f>
        <v>50000</v>
      </c>
      <c r="G21" s="12" t="n">
        <f aca="false">-'Modelo Runway'!G44-'Modelo Runway'!G38</f>
        <v>120000</v>
      </c>
      <c r="H21" s="12" t="n">
        <f aca="false">-'Modelo Runway'!H44-'Modelo Runway'!H38</f>
        <v>50000</v>
      </c>
    </row>
    <row r="23" customFormat="false" ht="15" hidden="false" customHeight="true" outlineLevel="0" collapsed="false">
      <c r="A23" s="5" t="s">
        <v>489</v>
      </c>
      <c r="B23" s="5"/>
      <c r="C23" s="5"/>
      <c r="D23" s="5"/>
      <c r="E23" s="5"/>
      <c r="F23" s="5"/>
      <c r="G23" s="5"/>
      <c r="H23" s="5"/>
    </row>
    <row r="24" customFormat="false" ht="15" hidden="false" customHeight="true" outlineLevel="0" collapsed="false">
      <c r="A24" s="42" t="s">
        <v>490</v>
      </c>
      <c r="B24" s="43" t="n">
        <f aca="false">'Modelo Runway'!B54</f>
        <v>153167.91</v>
      </c>
      <c r="C24" s="43" t="n">
        <f aca="false">'Modelo Runway'!C54</f>
        <v>-40320.6799999999</v>
      </c>
      <c r="D24" s="43" t="n">
        <f aca="false">'Modelo Runway'!D54</f>
        <v>33527.4125999999</v>
      </c>
      <c r="E24" s="43" t="n">
        <f aca="false">'Modelo Runway'!E54</f>
        <v>-46663.27</v>
      </c>
      <c r="F24" s="43" t="n">
        <f aca="false">'Modelo Runway'!F54</f>
        <v>28468.8347000002</v>
      </c>
      <c r="G24" s="43" t="n">
        <f aca="false">'Modelo Runway'!G54</f>
        <v>-42349.3100000001</v>
      </c>
      <c r="H24" s="43" t="n">
        <f aca="false">'Modelo Runway'!H54</f>
        <v>-14884.1852000002</v>
      </c>
    </row>
    <row r="25" customFormat="false" ht="15" hidden="false" customHeight="true" outlineLevel="0" collapsed="false">
      <c r="A25" s="7" t="s">
        <v>491</v>
      </c>
      <c r="B25" s="40" t="n">
        <f aca="false">'Modelo Runway'!B55</f>
        <v>242854</v>
      </c>
      <c r="C25" s="40" t="n">
        <f aca="false">'Modelo Runway'!C55</f>
        <v>242854</v>
      </c>
      <c r="D25" s="40" t="n">
        <f aca="false">'Modelo Runway'!D55</f>
        <v>202533.32</v>
      </c>
      <c r="E25" s="40" t="n">
        <f aca="false">'Modelo Runway'!E55</f>
        <v>242854</v>
      </c>
      <c r="F25" s="40" t="n">
        <f aca="false">'Modelo Runway'!F55</f>
        <v>196190.73</v>
      </c>
      <c r="G25" s="40" t="n">
        <f aca="false">'Modelo Runway'!G55</f>
        <v>242854</v>
      </c>
      <c r="H25" s="40" t="n">
        <f aca="false">'Modelo Runway'!H55</f>
        <v>200504.69</v>
      </c>
    </row>
    <row r="26" customFormat="false" ht="15" hidden="false" customHeight="true" outlineLevel="0" collapsed="false">
      <c r="A26" s="89" t="s">
        <v>492</v>
      </c>
      <c r="B26" s="17" t="n">
        <f aca="false">'Modelo Runway'!B56</f>
        <v>242854</v>
      </c>
      <c r="C26" s="17" t="n">
        <f aca="false">'Modelo Runway'!C56</f>
        <v>202533.32</v>
      </c>
      <c r="D26" s="17" t="n">
        <f aca="false">'Modelo Runway'!D56</f>
        <v>236060.7326</v>
      </c>
      <c r="E26" s="17" t="n">
        <f aca="false">'Modelo Runway'!E56</f>
        <v>196190.73</v>
      </c>
      <c r="F26" s="17" t="n">
        <f aca="false">'Modelo Runway'!F56</f>
        <v>224659.5647</v>
      </c>
      <c r="G26" s="17" t="n">
        <f aca="false">'Modelo Runway'!G56</f>
        <v>200504.69</v>
      </c>
      <c r="H26" s="17" t="n">
        <f aca="false">'Modelo Runway'!H56</f>
        <v>185620.5048</v>
      </c>
    </row>
    <row r="28" customFormat="false" ht="15" hidden="false" customHeight="true" outlineLevel="0" collapsed="false">
      <c r="A28" s="5" t="s">
        <v>493</v>
      </c>
      <c r="B28" s="5"/>
      <c r="C28" s="5"/>
      <c r="D28" s="5"/>
      <c r="E28" s="5"/>
      <c r="F28" s="5"/>
      <c r="G28" s="5"/>
      <c r="H28" s="5"/>
    </row>
    <row r="29" customFormat="false" ht="15" hidden="false" customHeight="true" outlineLevel="0" collapsed="false">
      <c r="A29" s="7" t="s">
        <v>494</v>
      </c>
      <c r="B29" s="90" t="n">
        <f aca="false">IFERROR(-'Modelo Runway'!B44/'Modelo Runway'!B38,0)</f>
        <v>1.2252839085401</v>
      </c>
      <c r="C29" s="90" t="n">
        <f aca="false">IFERROR(-'Modelo Runway'!C44/'Modelo Runway'!C38,0)</f>
        <v>1.33333333333333</v>
      </c>
      <c r="D29" s="90" t="n">
        <f aca="false">IFERROR(-'Modelo Runway'!D44/'Modelo Runway'!D38,0)</f>
        <v>1.1</v>
      </c>
      <c r="E29" s="90" t="n">
        <f aca="false">IFERROR(-'Modelo Runway'!E44/'Modelo Runway'!E38,0)</f>
        <v>1.5</v>
      </c>
      <c r="F29" s="90" t="n">
        <f aca="false">IFERROR(-'Modelo Runway'!F44/'Modelo Runway'!F38,0)</f>
        <v>1.14285714285714</v>
      </c>
      <c r="G29" s="90" t="n">
        <f aca="false">IFERROR(-'Modelo Runway'!G44/'Modelo Runway'!G38,0)</f>
        <v>1.6</v>
      </c>
      <c r="H29" s="90" t="n">
        <f aca="false">IFERROR(-'Modelo Runway'!H44/'Modelo Runway'!H38,0)</f>
        <v>1.25</v>
      </c>
    </row>
    <row r="30" customFormat="false" ht="15" hidden="false" customHeight="true" outlineLevel="0" collapsed="false">
      <c r="A30" s="7" t="s">
        <v>495</v>
      </c>
      <c r="B30" s="90" t="n">
        <f aca="false">IFERROR(-'Modelo Runway'!B24/'Modelo Runway'!B15,0)</f>
        <v>0.535882016036655</v>
      </c>
      <c r="C30" s="90" t="n">
        <f aca="false">IFERROR(-'Modelo Runway'!C24/'Modelo Runway'!C15,0)</f>
        <v>0.556363848730841</v>
      </c>
      <c r="D30" s="90" t="n">
        <f aca="false">IFERROR(-'Modelo Runway'!D24/'Modelo Runway'!D15,0)</f>
        <v>0.562902423319083</v>
      </c>
      <c r="E30" s="90" t="n">
        <f aca="false">IFERROR(-'Modelo Runway'!E24/'Modelo Runway'!E15,0)</f>
        <v>0.553767672633139</v>
      </c>
      <c r="F30" s="90" t="n">
        <f aca="false">IFERROR(-'Modelo Runway'!F24/'Modelo Runway'!F15,0)</f>
        <v>0.56398764879967</v>
      </c>
      <c r="G30" s="90" t="n">
        <f aca="false">IFERROR(-'Modelo Runway'!G24/'Modelo Runway'!G15,0)</f>
        <v>0.565662108685258</v>
      </c>
      <c r="H30" s="90" t="n">
        <f aca="false">IFERROR(-'Modelo Runway'!H24/'Modelo Runway'!H15,0)</f>
        <v>0.58011411830707</v>
      </c>
    </row>
    <row r="31" customFormat="false" ht="15" hidden="false" customHeight="true" outlineLevel="0" collapsed="false">
      <c r="A31" s="7" t="s">
        <v>496</v>
      </c>
      <c r="B31" s="91" t="n">
        <f aca="false">IFERROR('Modelo Runway'!B56/(-'Modelo Runway'!B30/12),0)</f>
        <v>2.59093321668903</v>
      </c>
      <c r="C31" s="91" t="n">
        <f aca="false">IFERROR('Modelo Runway'!C56/(-'Modelo Runway'!C30/12),0)</f>
        <v>1.96782119849452</v>
      </c>
      <c r="D31" s="91" t="n">
        <f aca="false">IFERROR('Modelo Runway'!D56/(-'Modelo Runway'!D30/12),0)</f>
        <v>2.14880020868803</v>
      </c>
      <c r="E31" s="91" t="n">
        <f aca="false">IFERROR('Modelo Runway'!E56/(-'Modelo Runway'!E30/12),0)</f>
        <v>1.97869309768829</v>
      </c>
      <c r="F31" s="91" t="n">
        <f aca="false">IFERROR('Modelo Runway'!F56/(-'Modelo Runway'!F30/12),0)</f>
        <v>2.17703121903226</v>
      </c>
      <c r="G31" s="91" t="n">
        <f aca="false">IFERROR('Modelo Runway'!G56/(-'Modelo Runway'!G30/12),0)</f>
        <v>2.09058381628296</v>
      </c>
      <c r="H31" s="91" t="n">
        <f aca="false">IFERROR('Modelo Runway'!H56/(-'Modelo Runway'!H30/12),0)</f>
        <v>1.91219614753253</v>
      </c>
    </row>
    <row r="33" customFormat="false" ht="15" hidden="false" customHeight="true" outlineLevel="0" collapsed="false">
      <c r="A33" s="21" t="s">
        <v>497</v>
      </c>
    </row>
    <row r="34" customFormat="false" ht="15" hidden="false" customHeight="true" outlineLevel="0" collapsed="false">
      <c r="A34" s="22" t="s">
        <v>498</v>
      </c>
      <c r="B34" s="22"/>
      <c r="C34" s="22"/>
      <c r="D34" s="22"/>
      <c r="E34" s="22"/>
      <c r="F34" s="22"/>
      <c r="G34" s="22"/>
      <c r="H34" s="22"/>
    </row>
    <row r="35" customFormat="false" ht="15" hidden="false" customHeight="true" outlineLevel="0" collapsed="false">
      <c r="A35" s="22" t="s">
        <v>499</v>
      </c>
      <c r="B35" s="22"/>
      <c r="C35" s="22"/>
      <c r="D35" s="22"/>
      <c r="E35" s="22"/>
      <c r="F35" s="22"/>
      <c r="G35" s="22"/>
      <c r="H35" s="22"/>
    </row>
    <row r="36" customFormat="false" ht="15" hidden="false" customHeight="true" outlineLevel="0" collapsed="false">
      <c r="A36" s="22" t="s">
        <v>500</v>
      </c>
      <c r="B36" s="22"/>
      <c r="C36" s="22"/>
      <c r="D36" s="22"/>
      <c r="E36" s="22"/>
      <c r="F36" s="22"/>
      <c r="G36" s="22"/>
      <c r="H36" s="22"/>
    </row>
    <row r="37" customFormat="false" ht="15" hidden="false" customHeight="true" outlineLevel="0" collapsed="false">
      <c r="A37" s="22" t="s">
        <v>501</v>
      </c>
      <c r="B37" s="22"/>
      <c r="C37" s="22"/>
      <c r="D37" s="22"/>
      <c r="E37" s="22"/>
      <c r="F37" s="22"/>
      <c r="G37" s="22"/>
      <c r="H37" s="22"/>
    </row>
  </sheetData>
  <mergeCells count="16">
    <mergeCell ref="A1:H1"/>
    <mergeCell ref="A2:H2"/>
    <mergeCell ref="A4:A5"/>
    <mergeCell ref="B4:B5"/>
    <mergeCell ref="C4:D4"/>
    <mergeCell ref="E4:F4"/>
    <mergeCell ref="G4:H4"/>
    <mergeCell ref="A7:H7"/>
    <mergeCell ref="A13:H13"/>
    <mergeCell ref="A18:H18"/>
    <mergeCell ref="A23:H23"/>
    <mergeCell ref="A28:H28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9" min="2" style="1" width="12"/>
  </cols>
  <sheetData>
    <row r="1" customFormat="false" ht="17.25" hidden="false" customHeight="true" outlineLevel="0" collapsed="false">
      <c r="A1" s="2" t="s">
        <v>502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503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77" t="s">
        <v>504</v>
      </c>
      <c r="B4" s="77" t="s">
        <v>505</v>
      </c>
      <c r="C4" s="77" t="s">
        <v>506</v>
      </c>
      <c r="D4" s="78" t="s">
        <v>475</v>
      </c>
      <c r="E4" s="78"/>
      <c r="F4" s="77" t="s">
        <v>476</v>
      </c>
      <c r="G4" s="77"/>
      <c r="H4" s="79" t="s">
        <v>477</v>
      </c>
      <c r="I4" s="79"/>
    </row>
    <row r="5" customFormat="false" ht="15" hidden="false" customHeight="true" outlineLevel="0" collapsed="false">
      <c r="A5" s="77"/>
      <c r="B5" s="77"/>
      <c r="C5" s="77"/>
      <c r="D5" s="80" t="s">
        <v>369</v>
      </c>
      <c r="E5" s="80" t="s">
        <v>370</v>
      </c>
      <c r="F5" s="23" t="s">
        <v>369</v>
      </c>
      <c r="G5" s="23" t="s">
        <v>370</v>
      </c>
      <c r="H5" s="81" t="s">
        <v>369</v>
      </c>
      <c r="I5" s="81" t="s">
        <v>370</v>
      </c>
    </row>
    <row r="7" customFormat="false" ht="15" hidden="false" customHeight="true" outlineLevel="0" collapsed="false">
      <c r="A7" s="10" t="s">
        <v>296</v>
      </c>
      <c r="B7" s="71" t="n">
        <f aca="false">Indicadores!F7</f>
        <v>0.452202246686836</v>
      </c>
      <c r="C7" s="71" t="n">
        <f aca="false">Indicadores!H7</f>
        <v>0.536455681114353</v>
      </c>
      <c r="D7" s="90" t="n">
        <f aca="false">IFERROR(-'Modelo Runway'!C24/'Modelo Runway'!C15,0)</f>
        <v>0.556363848730841</v>
      </c>
      <c r="E7" s="90" t="n">
        <f aca="false">IFERROR(-'Modelo Runway'!D24/'Modelo Runway'!D15,0)</f>
        <v>0.562902423319083</v>
      </c>
      <c r="F7" s="90" t="n">
        <f aca="false">IFERROR(-'Modelo Runway'!E24/'Modelo Runway'!E15,0)</f>
        <v>0.553767672633139</v>
      </c>
      <c r="G7" s="90" t="n">
        <f aca="false">IFERROR(-'Modelo Runway'!F24/'Modelo Runway'!F15,0)</f>
        <v>0.56398764879967</v>
      </c>
      <c r="H7" s="90" t="n">
        <f aca="false">IFERROR(-'Modelo Runway'!G24/'Modelo Runway'!G15,0)</f>
        <v>0.565662108685258</v>
      </c>
      <c r="I7" s="90" t="n">
        <f aca="false">IFERROR(-'Modelo Runway'!H24/'Modelo Runway'!H15,0)</f>
        <v>0.58011411830707</v>
      </c>
    </row>
    <row r="8" customFormat="false" ht="15" hidden="false" customHeight="true" outlineLevel="0" collapsed="false">
      <c r="A8" s="63" t="s">
        <v>507</v>
      </c>
      <c r="B8" s="64" t="str">
        <f aca="false">IF(B7=0,"-",IF(B7&lt;=0.5,"PASSA",IF(B7&lt;=0.65,"APERTADO","FALHA")))</f>
        <v>PASSA</v>
      </c>
      <c r="C8" s="64" t="str">
        <f aca="false">IF(C7=0,"-",IF(C7&lt;=0.5,"PASSA",IF(C7&lt;=0.65,"APERTADO","FALHA")))</f>
        <v>APERTADO</v>
      </c>
      <c r="D8" s="64" t="str">
        <f aca="false">IF(D7=0,"-",IF(D7&lt;=0.5,"PASSA",IF(D7&lt;=0.65,"APERTADO","FALHA")))</f>
        <v>APERTADO</v>
      </c>
      <c r="E8" s="64" t="str">
        <f aca="false">IF(E7=0,"-",IF(E7&lt;=0.5,"PASSA",IF(E7&lt;=0.65,"APERTADO","FALHA")))</f>
        <v>APERTADO</v>
      </c>
      <c r="F8" s="64" t="str">
        <f aca="false">IF(F7=0,"-",IF(F7&lt;=0.5,"PASSA",IF(F7&lt;=0.65,"APERTADO","FALHA")))</f>
        <v>APERTADO</v>
      </c>
      <c r="G8" s="64" t="str">
        <f aca="false">IF(G7=0,"-",IF(G7&lt;=0.5,"PASSA",IF(G7&lt;=0.65,"APERTADO","FALHA")))</f>
        <v>APERTADO</v>
      </c>
      <c r="H8" s="64" t="str">
        <f aca="false">IF(H7=0,"-",IF(H7&lt;=0.5,"PASSA",IF(H7&lt;=0.65,"APERTADO","FALHA")))</f>
        <v>APERTADO</v>
      </c>
      <c r="I8" s="64" t="str">
        <f aca="false">IF(I7=0,"-",IF(I7&lt;=0.5,"PASSA",IF(I7&lt;=0.65,"APERTADO","FALHA")))</f>
        <v>APERTADO</v>
      </c>
    </row>
    <row r="10" customFormat="false" ht="15" hidden="false" customHeight="true" outlineLevel="0" collapsed="false">
      <c r="A10" s="10" t="s">
        <v>299</v>
      </c>
      <c r="B10" s="71" t="n">
        <f aca="false">Indicadores!F30</f>
        <v>0.186178337023735</v>
      </c>
      <c r="C10" s="71" t="n">
        <f aca="false">Indicadores!H30</f>
        <v>0.102155270942204</v>
      </c>
      <c r="D10" s="90" t="n">
        <f aca="false">'Modelo Runway'!C35</f>
        <v>0.137208298975021</v>
      </c>
      <c r="E10" s="90" t="n">
        <f aca="false">'Modelo Runway'!D35</f>
        <v>0.137273208347847</v>
      </c>
      <c r="F10" s="90" t="n">
        <f aca="false">'Modelo Runway'!E35</f>
        <v>0.134039469608486</v>
      </c>
      <c r="G10" s="90" t="n">
        <f aca="false">'Modelo Runway'!F35</f>
        <v>0.125799593028081</v>
      </c>
      <c r="H10" s="90" t="n">
        <f aca="false">'Modelo Runway'!G35</f>
        <v>0.119691425084422</v>
      </c>
      <c r="I10" s="90" t="n">
        <f aca="false">'Modelo Runway'!H35</f>
        <v>0.104165742214436</v>
      </c>
    </row>
    <row r="11" customFormat="false" ht="15" hidden="false" customHeight="true" outlineLevel="0" collapsed="false">
      <c r="A11" s="63" t="s">
        <v>507</v>
      </c>
      <c r="B11" s="64" t="str">
        <f aca="false">IF(B10=0,"-",IF(B10&gt;=0.1,"PASSA",IF(B10&gt;=0.05,"APERTADO","FALHA")))</f>
        <v>PASSA</v>
      </c>
      <c r="C11" s="64" t="str">
        <f aca="false">IF(C10=0,"-",IF(C10&gt;=0.1,"PASSA",IF(C10&gt;=0.05,"APERTADO","FALHA")))</f>
        <v>PASSA</v>
      </c>
      <c r="D11" s="64" t="str">
        <f aca="false">IF(D10=0,"-",IF(D10&gt;=0.1,"PASSA",IF(D10&gt;=0.05,"APERTADO","FALHA")))</f>
        <v>PASSA</v>
      </c>
      <c r="E11" s="64" t="str">
        <f aca="false">IF(E10=0,"-",IF(E10&gt;=0.1,"PASSA",IF(E10&gt;=0.05,"APERTADO","FALHA")))</f>
        <v>PASSA</v>
      </c>
      <c r="F11" s="64" t="str">
        <f aca="false">IF(F10=0,"-",IF(F10&gt;=0.1,"PASSA",IF(F10&gt;=0.05,"APERTADO","FALHA")))</f>
        <v>PASSA</v>
      </c>
      <c r="G11" s="64" t="str">
        <f aca="false">IF(G10=0,"-",IF(G10&gt;=0.1,"PASSA",IF(G10&gt;=0.05,"APERTADO","FALHA")))</f>
        <v>PASSA</v>
      </c>
      <c r="H11" s="64" t="str">
        <f aca="false">IF(H10=0,"-",IF(H10&gt;=0.1,"PASSA",IF(H10&gt;=0.05,"APERTADO","FALHA")))</f>
        <v>PASSA</v>
      </c>
      <c r="I11" s="64" t="str">
        <f aca="false">IF(I10=0,"-",IF(I10&gt;=0.1,"PASSA",IF(I10&gt;=0.05,"APERTADO","FALHA")))</f>
        <v>PASSA</v>
      </c>
    </row>
    <row r="13" customFormat="false" ht="15" hidden="false" customHeight="true" outlineLevel="0" collapsed="false">
      <c r="A13" s="10" t="s">
        <v>301</v>
      </c>
      <c r="B13" s="71" t="n">
        <f aca="false">Indicadores!F13</f>
        <v>3.86284735156075</v>
      </c>
      <c r="C13" s="71" t="n">
        <f aca="false">Indicadores!H13</f>
        <v>1.2252839085401</v>
      </c>
      <c r="D13" s="90" t="n">
        <f aca="false">IFERROR(-'Modelo Runway'!C44/'Modelo Runway'!C38,0)</f>
        <v>1.33333333333333</v>
      </c>
      <c r="E13" s="90" t="n">
        <f aca="false">IFERROR(-'Modelo Runway'!D44/'Modelo Runway'!D38,0)</f>
        <v>1.1</v>
      </c>
      <c r="F13" s="90" t="n">
        <f aca="false">IFERROR(-'Modelo Runway'!E44/'Modelo Runway'!E38,0)</f>
        <v>1.5</v>
      </c>
      <c r="G13" s="90" t="n">
        <f aca="false">IFERROR(-'Modelo Runway'!F44/'Modelo Runway'!F38,0)</f>
        <v>1.14285714285714</v>
      </c>
      <c r="H13" s="90" t="n">
        <f aca="false">IFERROR(-'Modelo Runway'!G44/'Modelo Runway'!G38,0)</f>
        <v>1.6</v>
      </c>
      <c r="I13" s="90" t="n">
        <f aca="false">IFERROR(-'Modelo Runway'!H44/'Modelo Runway'!H38,0)</f>
        <v>1.25</v>
      </c>
    </row>
    <row r="14" customFormat="false" ht="15" hidden="false" customHeight="true" outlineLevel="0" collapsed="false">
      <c r="A14" s="63" t="s">
        <v>507</v>
      </c>
      <c r="B14" s="64" t="str">
        <f aca="false">IF(B13=0,"-",IF(B13&lt;=1,"PASSA",IF(B13&lt;=1.5,"APERTADO","FALHA")))</f>
        <v>FALHA</v>
      </c>
      <c r="C14" s="64" t="str">
        <f aca="false">IF(C13=0,"-",IF(C13&lt;=1,"PASSA",IF(C13&lt;=1.5,"APERTADO","FALHA")))</f>
        <v>APERTADO</v>
      </c>
      <c r="D14" s="64" t="str">
        <f aca="false">IF(D13=0,"-",IF(D13&lt;=1,"PASSA",IF(D13&lt;=1.5,"APERTADO","FALHA")))</f>
        <v>APERTADO</v>
      </c>
      <c r="E14" s="64" t="str">
        <f aca="false">IF(E13=0,"-",IF(E13&lt;=1,"PASSA",IF(E13&lt;=1.5,"APERTADO","FALHA")))</f>
        <v>APERTADO</v>
      </c>
      <c r="F14" s="64" t="str">
        <f aca="false">IF(F13=0,"-",IF(F13&lt;=1,"PASSA",IF(F13&lt;=1.5,"APERTADO","FALHA")))</f>
        <v>APERTADO</v>
      </c>
      <c r="G14" s="64" t="str">
        <f aca="false">IF(G13=0,"-",IF(G13&lt;=1,"PASSA",IF(G13&lt;=1.5,"APERTADO","FALHA")))</f>
        <v>APERTADO</v>
      </c>
      <c r="H14" s="64" t="str">
        <f aca="false">IF(H13=0,"-",IF(H13&lt;=1,"PASSA",IF(H13&lt;=1.5,"APERTADO","FALHA")))</f>
        <v>FALHA</v>
      </c>
      <c r="I14" s="64" t="str">
        <f aca="false">IF(I13=0,"-",IF(I13&lt;=1,"PASSA",IF(I13&lt;=1.5,"APERTADO","FALHA")))</f>
        <v>APERTADO</v>
      </c>
    </row>
    <row r="16" customFormat="false" ht="15" hidden="false" customHeight="true" outlineLevel="0" collapsed="false">
      <c r="A16" s="10" t="s">
        <v>508</v>
      </c>
      <c r="B16" s="92" t="n">
        <f aca="false">Indicadores!F16</f>
        <v>1.39957244983449</v>
      </c>
      <c r="C16" s="92" t="n">
        <f aca="false">Indicadores!H16</f>
        <v>2.11773579969697</v>
      </c>
      <c r="D16" s="91" t="n">
        <f aca="false">IFERROR('Modelo Runway'!C56/(-'Modelo Runway'!C30/12),0)</f>
        <v>1.96782119849452</v>
      </c>
      <c r="E16" s="91" t="n">
        <f aca="false">IFERROR('Modelo Runway'!D56/(-'Modelo Runway'!D30/12),0)</f>
        <v>2.14880020868803</v>
      </c>
      <c r="F16" s="91" t="n">
        <f aca="false">IFERROR('Modelo Runway'!E56/(-'Modelo Runway'!E30/12),0)</f>
        <v>1.97869309768829</v>
      </c>
      <c r="G16" s="91" t="n">
        <f aca="false">IFERROR('Modelo Runway'!F56/(-'Modelo Runway'!F30/12),0)</f>
        <v>2.17703121903226</v>
      </c>
      <c r="H16" s="91" t="n">
        <f aca="false">IFERROR('Modelo Runway'!G56/(-'Modelo Runway'!G30/12),0)</f>
        <v>2.09058381628296</v>
      </c>
      <c r="I16" s="91" t="n">
        <f aca="false">IFERROR('Modelo Runway'!H56/(-'Modelo Runway'!H30/12),0)</f>
        <v>1.91219614753253</v>
      </c>
    </row>
    <row r="17" customFormat="false" ht="15" hidden="false" customHeight="true" outlineLevel="0" collapsed="false">
      <c r="A17" s="63" t="s">
        <v>507</v>
      </c>
      <c r="B17" s="64" t="str">
        <f aca="false">IF(B16=0,"-",IF(B16&gt;=2,"PASSA",IF(B16&gt;=1,"APERTADO","FALHA")))</f>
        <v>APERTADO</v>
      </c>
      <c r="C17" s="64" t="str">
        <f aca="false">IF(C16=0,"-",IF(C16&gt;=2,"PASSA",IF(C16&gt;=1,"APERTADO","FALHA")))</f>
        <v>PASSA</v>
      </c>
      <c r="D17" s="64" t="str">
        <f aca="false">IF(D16=0,"-",IF(D16&gt;=2,"PASSA",IF(D16&gt;=1,"APERTADO","FALHA")))</f>
        <v>APERTADO</v>
      </c>
      <c r="E17" s="64" t="str">
        <f aca="false">IF(E16=0,"-",IF(E16&gt;=2,"PASSA",IF(E16&gt;=1,"APERTADO","FALHA")))</f>
        <v>PASSA</v>
      </c>
      <c r="F17" s="64" t="str">
        <f aca="false">IF(F16=0,"-",IF(F16&gt;=2,"PASSA",IF(F16&gt;=1,"APERTADO","FALHA")))</f>
        <v>APERTADO</v>
      </c>
      <c r="G17" s="64" t="str">
        <f aca="false">IF(G16=0,"-",IF(G16&gt;=2,"PASSA",IF(G16&gt;=1,"APERTADO","FALHA")))</f>
        <v>PASSA</v>
      </c>
      <c r="H17" s="64" t="str">
        <f aca="false">IF(H16=0,"-",IF(H16&gt;=2,"PASSA",IF(H16&gt;=1,"APERTADO","FALHA")))</f>
        <v>PASSA</v>
      </c>
      <c r="I17" s="64" t="str">
        <f aca="false">IF(I16=0,"-",IF(I16&gt;=2,"PASSA",IF(I16&gt;=1,"APERTADO","FALHA")))</f>
        <v>APERTADO</v>
      </c>
    </row>
    <row r="19" customFormat="false" ht="15" hidden="false" customHeight="true" outlineLevel="0" collapsed="false">
      <c r="A19" s="5" t="s">
        <v>509</v>
      </c>
      <c r="B19" s="5"/>
      <c r="C19" s="5"/>
      <c r="D19" s="5"/>
      <c r="E19" s="5"/>
      <c r="F19" s="5"/>
      <c r="G19" s="5"/>
      <c r="H19" s="5"/>
    </row>
    <row r="20" customFormat="false" ht="15" hidden="false" customHeight="true" outlineLevel="0" collapsed="false">
      <c r="A20" s="29" t="s">
        <v>510</v>
      </c>
      <c r="B20" s="93" t="n">
        <f aca="false">COUNTIF(B8,"PASSA")+COUNTIF(B8,"APERTADO")+COUNTIF(B11,"PASSA")+COUNTIF(B11,"APERTADO")+COUNTIF(B14,"PASSA")+COUNTIF(B14,"APERTADO")+COUNTIF(B17,"PASSA")+COUNTIF(B17,"APERTADO")</f>
        <v>3</v>
      </c>
      <c r="C20" s="93" t="n">
        <f aca="false">COUNTIF(C8,"PASSA")+COUNTIF(C8,"APERTADO")+COUNTIF(C11,"PASSA")+COUNTIF(C11,"APERTADO")+COUNTIF(C14,"PASSA")+COUNTIF(C14,"APERTADO")+COUNTIF(C17,"PASSA")+COUNTIF(C17,"APERTADO")</f>
        <v>4</v>
      </c>
      <c r="D20" s="93" t="n">
        <f aca="false">COUNTIF(D8,"PASSA")+COUNTIF(D8,"APERTADO")+COUNTIF(D11,"PASSA")+COUNTIF(D11,"APERTADO")+COUNTIF(D14,"PASSA")+COUNTIF(D14,"APERTADO")+COUNTIF(D17,"PASSA")+COUNTIF(D17,"APERTADO")</f>
        <v>4</v>
      </c>
      <c r="E20" s="93" t="n">
        <f aca="false">COUNTIF(E8,"PASSA")+COUNTIF(E8,"APERTADO")+COUNTIF(E11,"PASSA")+COUNTIF(E11,"APERTADO")+COUNTIF(E14,"PASSA")+COUNTIF(E14,"APERTADO")+COUNTIF(E17,"PASSA")+COUNTIF(E17,"APERTADO")</f>
        <v>4</v>
      </c>
      <c r="F20" s="93" t="n">
        <f aca="false">COUNTIF(F8,"PASSA")+COUNTIF(F8,"APERTADO")+COUNTIF(F11,"PASSA")+COUNTIF(F11,"APERTADO")+COUNTIF(F14,"PASSA")+COUNTIF(F14,"APERTADO")+COUNTIF(F17,"PASSA")+COUNTIF(F17,"APERTADO")</f>
        <v>4</v>
      </c>
      <c r="G20" s="93" t="n">
        <f aca="false">COUNTIF(G8,"PASSA")+COUNTIF(G8,"APERTADO")+COUNTIF(G11,"PASSA")+COUNTIF(G11,"APERTADO")+COUNTIF(G14,"PASSA")+COUNTIF(G14,"APERTADO")+COUNTIF(G17,"PASSA")+COUNTIF(G17,"APERTADO")</f>
        <v>4</v>
      </c>
      <c r="H20" s="93" t="n">
        <f aca="false">COUNTIF(H8,"PASSA")+COUNTIF(H8,"APERTADO")+COUNTIF(H11,"PASSA")+COUNTIF(H11,"APERTADO")+COUNTIF(H14,"PASSA")+COUNTIF(H14,"APERTADO")+COUNTIF(H17,"PASSA")+COUNTIF(H17,"APERTADO")</f>
        <v>3</v>
      </c>
      <c r="I20" s="93" t="n">
        <f aca="false">COUNTIF(I8,"PASSA")+COUNTIF(I8,"APERTADO")+COUNTIF(I11,"PASSA")+COUNTIF(I11,"APERTADO")+COUNTIF(I14,"PASSA")+COUNTIF(I14,"APERTADO")+COUNTIF(I17,"PASSA")+COUNTIF(I17,"APERTADO")</f>
        <v>4</v>
      </c>
    </row>
    <row r="21" customFormat="false" ht="15" hidden="false" customHeight="true" outlineLevel="0" collapsed="false">
      <c r="A21" s="30" t="s">
        <v>511</v>
      </c>
      <c r="B21" s="8" t="n">
        <f aca="false">COUNTIF(B8,"FALHA")+COUNTIF(B11,"FALHA")+COUNTIF(B14,"FALHA")+COUNTIF(B17,"FALHA")</f>
        <v>1</v>
      </c>
      <c r="C21" s="8" t="n">
        <f aca="false">COUNTIF(C8,"FALHA")+COUNTIF(C11,"FALHA")+COUNTIF(C14,"FALHA")+COUNTIF(C17,"FALHA")</f>
        <v>0</v>
      </c>
      <c r="D21" s="8" t="n">
        <f aca="false">COUNTIF(D8,"FALHA")+COUNTIF(D11,"FALHA")+COUNTIF(D14,"FALHA")+COUNTIF(D17,"FALHA")</f>
        <v>0</v>
      </c>
      <c r="E21" s="8" t="n">
        <f aca="false">COUNTIF(E8,"FALHA")+COUNTIF(E11,"FALHA")+COUNTIF(E14,"FALHA")+COUNTIF(E17,"FALHA")</f>
        <v>0</v>
      </c>
      <c r="F21" s="8" t="n">
        <f aca="false">COUNTIF(F8,"FALHA")+COUNTIF(F11,"FALHA")+COUNTIF(F14,"FALHA")+COUNTIF(F17,"FALHA")</f>
        <v>0</v>
      </c>
      <c r="G21" s="8" t="n">
        <f aca="false">COUNTIF(G8,"FALHA")+COUNTIF(G11,"FALHA")+COUNTIF(G14,"FALHA")+COUNTIF(G17,"FALHA")</f>
        <v>0</v>
      </c>
      <c r="H21" s="8" t="n">
        <f aca="false">COUNTIF(H8,"FALHA")+COUNTIF(H11,"FALHA")+COUNTIF(H14,"FALHA")+COUNTIF(H17,"FALHA")</f>
        <v>1</v>
      </c>
      <c r="I21" s="8" t="n">
        <f aca="false">COUNTIF(I8,"FALHA")+COUNTIF(I11,"FALHA")+COUNTIF(I14,"FALHA")+COUNTIF(I17,"FALHA")</f>
        <v>0</v>
      </c>
    </row>
    <row r="23" customFormat="false" ht="15" hidden="false" customHeight="true" outlineLevel="0" collapsed="false">
      <c r="A23" s="21" t="s">
        <v>497</v>
      </c>
    </row>
    <row r="24" customFormat="false" ht="15" hidden="false" customHeight="true" outlineLevel="0" collapsed="false">
      <c r="A24" s="22" t="s">
        <v>512</v>
      </c>
      <c r="B24" s="22"/>
      <c r="C24" s="22"/>
      <c r="D24" s="22"/>
      <c r="E24" s="22"/>
      <c r="F24" s="22"/>
      <c r="G24" s="22"/>
      <c r="H24" s="22"/>
      <c r="I24" s="22"/>
    </row>
    <row r="25" customFormat="false" ht="15" hidden="false" customHeight="true" outlineLevel="0" collapsed="false">
      <c r="A25" s="22" t="s">
        <v>513</v>
      </c>
      <c r="B25" s="22"/>
      <c r="C25" s="22"/>
      <c r="D25" s="22"/>
      <c r="E25" s="22"/>
      <c r="F25" s="22"/>
      <c r="G25" s="22"/>
      <c r="H25" s="22"/>
      <c r="I25" s="22"/>
    </row>
    <row r="26" customFormat="false" ht="15" hidden="false" customHeight="true" outlineLevel="0" collapsed="false">
      <c r="A26" s="22" t="s">
        <v>514</v>
      </c>
      <c r="B26" s="22"/>
      <c r="C26" s="22"/>
      <c r="D26" s="22"/>
      <c r="E26" s="22"/>
      <c r="F26" s="22"/>
      <c r="G26" s="22"/>
      <c r="H26" s="22"/>
      <c r="I26" s="22"/>
    </row>
    <row r="27" customFormat="false" ht="15" hidden="false" customHeight="true" outlineLevel="0" collapsed="false">
      <c r="A27" s="22" t="s">
        <v>515</v>
      </c>
      <c r="B27" s="22"/>
      <c r="C27" s="22"/>
      <c r="D27" s="22"/>
      <c r="E27" s="22"/>
      <c r="F27" s="22"/>
      <c r="G27" s="22"/>
      <c r="H27" s="22"/>
      <c r="I27" s="22"/>
    </row>
    <row r="28" customFormat="false" ht="15" hidden="false" customHeight="true" outlineLevel="0" collapsed="false">
      <c r="A28" s="22" t="s">
        <v>516</v>
      </c>
      <c r="B28" s="22"/>
      <c r="C28" s="22"/>
      <c r="D28" s="22"/>
      <c r="E28" s="22"/>
      <c r="F28" s="22"/>
      <c r="G28" s="22"/>
      <c r="H28" s="22"/>
      <c r="I28" s="22"/>
    </row>
    <row r="29" customFormat="false" ht="15" hidden="false" customHeight="true" outlineLevel="0" collapsed="false">
      <c r="A29" s="22" t="s">
        <v>517</v>
      </c>
      <c r="B29" s="22"/>
      <c r="C29" s="22"/>
      <c r="D29" s="22"/>
      <c r="E29" s="22"/>
      <c r="F29" s="22"/>
      <c r="G29" s="22"/>
      <c r="H29" s="22"/>
      <c r="I29" s="22"/>
    </row>
    <row r="30" customFormat="false" ht="15" hidden="false" customHeight="true" outlineLevel="0" collapsed="false">
      <c r="A30" s="22" t="s">
        <v>518</v>
      </c>
      <c r="B30" s="22"/>
      <c r="C30" s="22"/>
      <c r="D30" s="22"/>
      <c r="E30" s="22"/>
      <c r="F30" s="22"/>
      <c r="G30" s="22"/>
      <c r="H30" s="22"/>
      <c r="I30" s="22"/>
    </row>
  </sheetData>
  <mergeCells count="16">
    <mergeCell ref="A1:I1"/>
    <mergeCell ref="A2:I2"/>
    <mergeCell ref="A4:A5"/>
    <mergeCell ref="B4:B5"/>
    <mergeCell ref="C4:C5"/>
    <mergeCell ref="D4:E4"/>
    <mergeCell ref="F4:G4"/>
    <mergeCell ref="H4:I4"/>
    <mergeCell ref="A19:H19"/>
    <mergeCell ref="A24:I24"/>
    <mergeCell ref="A25:I25"/>
    <mergeCell ref="A26:I26"/>
    <mergeCell ref="A27:I27"/>
    <mergeCell ref="A28:I28"/>
    <mergeCell ref="A29:I29"/>
    <mergeCell ref="A30:I30"/>
  </mergeCells>
  <conditionalFormatting sqref="B8:I8">
    <cfRule type="cellIs" priority="2" operator="equal" aboveAverage="0" equalAverage="0" bottom="0" percent="0" rank="0" text="" dxfId="0">
      <formula>"PASSA"</formula>
    </cfRule>
    <cfRule type="cellIs" priority="3" operator="equal" aboveAverage="0" equalAverage="0" bottom="0" percent="0" rank="0" text="" dxfId="1">
      <formula>"APERTADO"</formula>
    </cfRule>
    <cfRule type="cellIs" priority="4" operator="equal" aboveAverage="0" equalAverage="0" bottom="0" percent="0" rank="0" text="" dxfId="2">
      <formula>"FALHA"</formula>
    </cfRule>
  </conditionalFormatting>
  <conditionalFormatting sqref="B11:I11">
    <cfRule type="cellIs" priority="5" operator="equal" aboveAverage="0" equalAverage="0" bottom="0" percent="0" rank="0" text="" dxfId="0">
      <formula>"PASSA"</formula>
    </cfRule>
    <cfRule type="cellIs" priority="6" operator="equal" aboveAverage="0" equalAverage="0" bottom="0" percent="0" rank="0" text="" dxfId="1">
      <formula>"APERTADO"</formula>
    </cfRule>
    <cfRule type="cellIs" priority="7" operator="equal" aboveAverage="0" equalAverage="0" bottom="0" percent="0" rank="0" text="" dxfId="2">
      <formula>"FALHA"</formula>
    </cfRule>
  </conditionalFormatting>
  <conditionalFormatting sqref="B14:I14">
    <cfRule type="cellIs" priority="8" operator="equal" aboveAverage="0" equalAverage="0" bottom="0" percent="0" rank="0" text="" dxfId="0">
      <formula>"PASSA"</formula>
    </cfRule>
    <cfRule type="cellIs" priority="9" operator="equal" aboveAverage="0" equalAverage="0" bottom="0" percent="0" rank="0" text="" dxfId="1">
      <formula>"APERTADO"</formula>
    </cfRule>
    <cfRule type="cellIs" priority="10" operator="equal" aboveAverage="0" equalAverage="0" bottom="0" percent="0" rank="0" text="" dxfId="2">
      <formula>"FALHA"</formula>
    </cfRule>
  </conditionalFormatting>
  <conditionalFormatting sqref="B17:I17">
    <cfRule type="cellIs" priority="11" operator="equal" aboveAverage="0" equalAverage="0" bottom="0" percent="0" rank="0" text="" dxfId="0">
      <formula>"PASSA"</formula>
    </cfRule>
    <cfRule type="cellIs" priority="12" operator="equal" aboveAverage="0" equalAverage="0" bottom="0" percent="0" rank="0" text="" dxfId="1">
      <formula>"APERTADO"</formula>
    </cfRule>
    <cfRule type="cellIs" priority="13" operator="equal" aboveAverage="0" equalAverage="0" bottom="0" percent="0" rank="0" text="" dxfId="2">
      <formula>"FALHA"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2" t="s">
        <v>519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520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3" t="s">
        <v>293</v>
      </c>
      <c r="B4" s="23" t="s">
        <v>521</v>
      </c>
      <c r="C4" s="23" t="s">
        <v>4</v>
      </c>
      <c r="D4" s="23" t="s">
        <v>5</v>
      </c>
      <c r="E4" s="23" t="s">
        <v>522</v>
      </c>
      <c r="F4" s="23" t="s">
        <v>523</v>
      </c>
      <c r="G4" s="23" t="s">
        <v>524</v>
      </c>
    </row>
    <row r="5" customFormat="false" ht="15" hidden="false" customHeight="true" outlineLevel="0" collapsed="false">
      <c r="A5" s="94" t="s">
        <v>525</v>
      </c>
      <c r="B5" s="95" t="n">
        <v>46</v>
      </c>
      <c r="C5" s="95" t="n">
        <v>46</v>
      </c>
      <c r="D5" s="95" t="n">
        <v>46</v>
      </c>
      <c r="E5" s="95" t="n">
        <v>46</v>
      </c>
      <c r="F5" s="95" t="n">
        <v>46</v>
      </c>
      <c r="G5" s="96" t="s">
        <v>526</v>
      </c>
    </row>
    <row r="6" customFormat="false" ht="15" hidden="false" customHeight="true" outlineLevel="0" collapsed="false">
      <c r="A6" s="94" t="s">
        <v>527</v>
      </c>
      <c r="B6" s="95" t="n">
        <v>0</v>
      </c>
      <c r="C6" s="95" t="n">
        <v>0</v>
      </c>
      <c r="D6" s="96" t="s">
        <v>528</v>
      </c>
      <c r="E6" s="95" t="n">
        <v>7</v>
      </c>
      <c r="F6" s="95" t="n">
        <v>12</v>
      </c>
      <c r="G6" s="96" t="s">
        <v>529</v>
      </c>
    </row>
    <row r="7" customFormat="false" ht="15" hidden="false" customHeight="true" outlineLevel="0" collapsed="false">
      <c r="A7" s="97" t="s">
        <v>530</v>
      </c>
      <c r="B7" s="98" t="n">
        <v>46</v>
      </c>
      <c r="C7" s="98" t="n">
        <v>46</v>
      </c>
      <c r="D7" s="98" t="n">
        <v>42</v>
      </c>
      <c r="E7" s="98" t="n">
        <v>35</v>
      </c>
      <c r="F7" s="98" t="n">
        <v>23</v>
      </c>
      <c r="G7" s="99" t="s">
        <v>531</v>
      </c>
    </row>
    <row r="9" customFormat="false" ht="15" hidden="false" customHeight="true" outlineLevel="0" collapsed="false">
      <c r="A9" s="5" t="s">
        <v>532</v>
      </c>
      <c r="B9" s="5"/>
      <c r="C9" s="5"/>
      <c r="D9" s="5"/>
      <c r="E9" s="5"/>
      <c r="F9" s="5"/>
      <c r="G9" s="5"/>
      <c r="H9" s="5"/>
    </row>
    <row r="10" customFormat="false" ht="15" hidden="false" customHeight="true" outlineLevel="0" collapsed="false">
      <c r="A10" s="23" t="s">
        <v>293</v>
      </c>
      <c r="B10" s="23" t="s">
        <v>521</v>
      </c>
      <c r="C10" s="23" t="s">
        <v>4</v>
      </c>
      <c r="D10" s="23" t="s">
        <v>5</v>
      </c>
      <c r="E10" s="23" t="s">
        <v>522</v>
      </c>
      <c r="F10" s="23" t="s">
        <v>523</v>
      </c>
      <c r="G10" s="23" t="s">
        <v>533</v>
      </c>
    </row>
    <row r="11" customFormat="false" ht="15" hidden="false" customHeight="true" outlineLevel="0" collapsed="false">
      <c r="A11" s="94" t="s">
        <v>534</v>
      </c>
      <c r="B11" s="31" t="n">
        <v>104000</v>
      </c>
      <c r="C11" s="31"/>
      <c r="D11" s="31"/>
      <c r="E11" s="31"/>
      <c r="F11" s="31"/>
      <c r="G11" s="96" t="s">
        <v>535</v>
      </c>
    </row>
    <row r="12" customFormat="false" ht="15" hidden="false" customHeight="true" outlineLevel="0" collapsed="false">
      <c r="A12" s="94" t="s">
        <v>536</v>
      </c>
      <c r="B12" s="31" t="n">
        <v>165000</v>
      </c>
      <c r="C12" s="31"/>
      <c r="D12" s="31"/>
      <c r="E12" s="31"/>
      <c r="F12" s="31"/>
      <c r="G12" s="96" t="s">
        <v>537</v>
      </c>
    </row>
    <row r="13" customFormat="false" ht="15" hidden="false" customHeight="true" outlineLevel="0" collapsed="false">
      <c r="A13" s="94" t="s">
        <v>538</v>
      </c>
      <c r="B13" s="31" t="n">
        <v>0</v>
      </c>
      <c r="C13" s="31" t="n">
        <v>0</v>
      </c>
      <c r="D13" s="31"/>
      <c r="E13" s="31" t="n">
        <v>24396</v>
      </c>
      <c r="F13" s="31" t="n">
        <v>34167</v>
      </c>
      <c r="G13" s="96" t="s">
        <v>539</v>
      </c>
    </row>
    <row r="14" customFormat="false" ht="15" hidden="false" customHeight="true" outlineLevel="0" collapsed="false">
      <c r="A14" s="100" t="s">
        <v>540</v>
      </c>
      <c r="B14" s="101" t="n">
        <v>0</v>
      </c>
      <c r="C14" s="101" t="n">
        <v>0</v>
      </c>
      <c r="D14" s="101"/>
      <c r="E14" s="101" t="n">
        <v>8158</v>
      </c>
      <c r="F14" s="101" t="n">
        <v>7010</v>
      </c>
      <c r="G14" s="102" t="s">
        <v>541</v>
      </c>
    </row>
    <row r="15" customFormat="false" ht="15" hidden="false" customHeight="true" outlineLevel="0" collapsed="false">
      <c r="A15" s="94" t="s">
        <v>542</v>
      </c>
      <c r="B15" s="90"/>
      <c r="C15" s="90"/>
      <c r="D15" s="90"/>
      <c r="E15" s="90" t="n">
        <v>0.334</v>
      </c>
      <c r="F15" s="90" t="n">
        <v>0.205</v>
      </c>
      <c r="G15" s="96" t="s">
        <v>543</v>
      </c>
    </row>
    <row r="17" customFormat="false" ht="15" hidden="false" customHeight="true" outlineLevel="0" collapsed="false">
      <c r="A17" s="5" t="s">
        <v>544</v>
      </c>
      <c r="B17" s="5"/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23" t="s">
        <v>545</v>
      </c>
      <c r="B18" s="23" t="s">
        <v>521</v>
      </c>
      <c r="C18" s="23" t="s">
        <v>4</v>
      </c>
      <c r="D18" s="23" t="s">
        <v>5</v>
      </c>
      <c r="E18" s="23" t="s">
        <v>522</v>
      </c>
      <c r="F18" s="23" t="s">
        <v>523</v>
      </c>
      <c r="G18" s="23" t="s">
        <v>533</v>
      </c>
    </row>
    <row r="19" customFormat="false" ht="15" hidden="false" customHeight="true" outlineLevel="0" collapsed="false">
      <c r="A19" s="94" t="s">
        <v>31</v>
      </c>
      <c r="B19" s="31" t="n">
        <v>104911</v>
      </c>
      <c r="C19" s="31" t="n">
        <v>104893</v>
      </c>
      <c r="D19" s="31" t="n">
        <v>38625</v>
      </c>
      <c r="E19" s="31" t="n">
        <v>171</v>
      </c>
      <c r="F19" s="31" t="n">
        <v>0</v>
      </c>
      <c r="G19" s="96" t="s">
        <v>546</v>
      </c>
    </row>
    <row r="20" customFormat="false" ht="15" hidden="false" customHeight="true" outlineLevel="0" collapsed="false">
      <c r="A20" s="94" t="s">
        <v>547</v>
      </c>
      <c r="B20" s="31" t="n">
        <v>0</v>
      </c>
      <c r="C20" s="31" t="n">
        <v>0</v>
      </c>
      <c r="D20" s="31" t="n">
        <v>59953</v>
      </c>
      <c r="E20" s="31" t="n">
        <v>81377</v>
      </c>
      <c r="F20" s="31" t="n">
        <v>54220</v>
      </c>
      <c r="G20" s="96" t="s">
        <v>548</v>
      </c>
    </row>
    <row r="21" customFormat="false" ht="15" hidden="false" customHeight="true" outlineLevel="0" collapsed="false">
      <c r="A21" s="97" t="s">
        <v>549</v>
      </c>
      <c r="B21" s="12" t="n">
        <v>104911</v>
      </c>
      <c r="C21" s="12" t="n">
        <v>104893</v>
      </c>
      <c r="D21" s="12" t="n">
        <v>98578</v>
      </c>
      <c r="E21" s="12" t="n">
        <v>81548</v>
      </c>
      <c r="F21" s="12" t="n">
        <v>54220</v>
      </c>
      <c r="G21" s="99"/>
    </row>
    <row r="22" customFormat="false" ht="15" hidden="false" customHeight="true" outlineLevel="0" collapsed="false">
      <c r="A22" s="94" t="s">
        <v>550</v>
      </c>
      <c r="B22" s="31"/>
      <c r="C22" s="31"/>
      <c r="D22" s="31"/>
      <c r="E22" s="31" t="n">
        <v>121200</v>
      </c>
      <c r="F22" s="31" t="n">
        <v>73914</v>
      </c>
      <c r="G22" s="96" t="s">
        <v>539</v>
      </c>
    </row>
    <row r="23" customFormat="false" ht="15" hidden="false" customHeight="true" outlineLevel="0" collapsed="false">
      <c r="A23" s="100" t="s">
        <v>551</v>
      </c>
      <c r="B23" s="101"/>
      <c r="C23" s="101"/>
      <c r="D23" s="101"/>
      <c r="E23" s="101" t="n">
        <v>39823</v>
      </c>
      <c r="F23" s="101" t="n">
        <v>19694</v>
      </c>
      <c r="G23" s="102" t="s">
        <v>552</v>
      </c>
    </row>
    <row r="25" customFormat="false" ht="15" hidden="false" customHeight="true" outlineLevel="0" collapsed="false">
      <c r="A25" s="21" t="s">
        <v>497</v>
      </c>
    </row>
    <row r="26" customFormat="false" ht="15" hidden="false" customHeight="true" outlineLevel="0" collapsed="false">
      <c r="A26" s="22" t="s">
        <v>553</v>
      </c>
      <c r="B26" s="22"/>
      <c r="C26" s="22"/>
      <c r="D26" s="22"/>
      <c r="E26" s="22"/>
      <c r="F26" s="22"/>
      <c r="G26" s="22"/>
      <c r="H26" s="22"/>
    </row>
    <row r="27" customFormat="false" ht="15" hidden="false" customHeight="true" outlineLevel="0" collapsed="false">
      <c r="A27" s="22" t="s">
        <v>554</v>
      </c>
      <c r="B27" s="22"/>
      <c r="C27" s="22"/>
      <c r="D27" s="22"/>
      <c r="E27" s="22"/>
      <c r="F27" s="22"/>
      <c r="G27" s="22"/>
      <c r="H27" s="22"/>
    </row>
    <row r="28" customFormat="false" ht="15" hidden="false" customHeight="true" outlineLevel="0" collapsed="false">
      <c r="A28" s="22" t="s">
        <v>555</v>
      </c>
      <c r="B28" s="22"/>
      <c r="C28" s="22"/>
      <c r="D28" s="22"/>
      <c r="E28" s="22"/>
      <c r="F28" s="22"/>
      <c r="G28" s="22"/>
      <c r="H28" s="22"/>
    </row>
    <row r="29" customFormat="false" ht="15" hidden="false" customHeight="true" outlineLevel="0" collapsed="false">
      <c r="A29" s="22" t="s">
        <v>556</v>
      </c>
      <c r="B29" s="22"/>
      <c r="C29" s="22"/>
      <c r="D29" s="22"/>
      <c r="E29" s="22"/>
      <c r="F29" s="22"/>
      <c r="G29" s="22"/>
      <c r="H29" s="22"/>
    </row>
    <row r="30" customFormat="false" ht="15" hidden="false" customHeight="true" outlineLevel="0" collapsed="false">
      <c r="A30" s="22" t="s">
        <v>557</v>
      </c>
      <c r="B30" s="22"/>
      <c r="C30" s="22"/>
      <c r="D30" s="22"/>
      <c r="E30" s="22"/>
      <c r="F30" s="22"/>
      <c r="G30" s="22"/>
      <c r="H30" s="22"/>
    </row>
    <row r="31" customFormat="false" ht="15" hidden="false" customHeight="true" outlineLevel="0" collapsed="false">
      <c r="A31" s="22" t="s">
        <v>558</v>
      </c>
      <c r="B31" s="22"/>
      <c r="C31" s="22"/>
      <c r="D31" s="22"/>
      <c r="E31" s="22"/>
      <c r="F31" s="22"/>
      <c r="G31" s="22"/>
      <c r="H31" s="22"/>
    </row>
    <row r="32" customFormat="false" ht="15" hidden="false" customHeight="true" outlineLevel="0" collapsed="false">
      <c r="A32" s="22" t="s">
        <v>559</v>
      </c>
      <c r="B32" s="22"/>
      <c r="C32" s="22"/>
      <c r="D32" s="22"/>
      <c r="E32" s="22"/>
      <c r="F32" s="22"/>
      <c r="G32" s="22"/>
      <c r="H32" s="22"/>
    </row>
    <row r="33" customFormat="false" ht="15" hidden="false" customHeight="true" outlineLevel="0" collapsed="false">
      <c r="A33" s="22" t="s">
        <v>560</v>
      </c>
      <c r="B33" s="22"/>
      <c r="C33" s="22"/>
      <c r="D33" s="22"/>
      <c r="E33" s="22"/>
      <c r="F33" s="22"/>
      <c r="G33" s="22"/>
      <c r="H33" s="22"/>
    </row>
    <row r="34" customFormat="false" ht="15" hidden="false" customHeight="true" outlineLevel="0" collapsed="false">
      <c r="A34" s="22" t="s">
        <v>561</v>
      </c>
      <c r="B34" s="22"/>
      <c r="C34" s="22"/>
      <c r="D34" s="22"/>
      <c r="E34" s="22"/>
      <c r="F34" s="22"/>
      <c r="G34" s="22"/>
      <c r="H34" s="22"/>
    </row>
  </sheetData>
  <mergeCells count="13">
    <mergeCell ref="A1:H1"/>
    <mergeCell ref="A2:H2"/>
    <mergeCell ref="A9:H9"/>
    <mergeCell ref="A17:H17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2" t="s">
        <v>562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563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3" t="s">
        <v>564</v>
      </c>
      <c r="B4" s="23" t="s">
        <v>4</v>
      </c>
      <c r="C4" s="23" t="s">
        <v>5</v>
      </c>
      <c r="D4" s="23" t="s">
        <v>522</v>
      </c>
      <c r="E4" s="23" t="s">
        <v>523</v>
      </c>
      <c r="F4" s="23" t="s">
        <v>565</v>
      </c>
    </row>
    <row r="6" customFormat="false" ht="15" hidden="false" customHeight="true" outlineLevel="0" collapsed="false">
      <c r="A6" s="5" t="s">
        <v>566</v>
      </c>
      <c r="B6" s="5"/>
      <c r="C6" s="5"/>
      <c r="D6" s="5"/>
      <c r="E6" s="5"/>
      <c r="F6" s="5"/>
      <c r="G6" s="5"/>
      <c r="H6" s="5"/>
    </row>
    <row r="7" customFormat="false" ht="15" hidden="false" customHeight="true" outlineLevel="0" collapsed="false">
      <c r="A7" s="94" t="s">
        <v>567</v>
      </c>
      <c r="B7" s="31"/>
      <c r="C7" s="31" t="n">
        <v>51435</v>
      </c>
      <c r="D7" s="31" t="n">
        <v>49945</v>
      </c>
      <c r="E7" s="31" t="n">
        <v>48699</v>
      </c>
      <c r="F7" s="96" t="s">
        <v>568</v>
      </c>
    </row>
    <row r="8" customFormat="false" ht="15" hidden="false" customHeight="true" outlineLevel="0" collapsed="false">
      <c r="A8" s="94" t="s">
        <v>569</v>
      </c>
      <c r="B8" s="31"/>
      <c r="C8" s="31" t="n">
        <v>69503</v>
      </c>
      <c r="D8" s="31" t="n">
        <v>67489</v>
      </c>
      <c r="E8" s="31" t="n">
        <v>65806</v>
      </c>
      <c r="F8" s="96" t="s">
        <v>570</v>
      </c>
    </row>
    <row r="9" customFormat="false" ht="15" hidden="false" customHeight="true" outlineLevel="0" collapsed="false">
      <c r="A9" s="94" t="s">
        <v>571</v>
      </c>
      <c r="B9" s="31"/>
      <c r="C9" s="31" t="n">
        <v>7307</v>
      </c>
      <c r="D9" s="31" t="n">
        <v>7192</v>
      </c>
      <c r="E9" s="31" t="n">
        <v>5590</v>
      </c>
      <c r="F9" s="96" t="s">
        <v>570</v>
      </c>
    </row>
    <row r="10" customFormat="false" ht="15" hidden="false" customHeight="true" outlineLevel="0" collapsed="false">
      <c r="A10" s="97" t="s">
        <v>572</v>
      </c>
      <c r="B10" s="12"/>
      <c r="C10" s="12" t="n">
        <v>128245</v>
      </c>
      <c r="D10" s="12" t="n">
        <v>124626</v>
      </c>
      <c r="E10" s="12" t="n">
        <v>120095</v>
      </c>
      <c r="F10" s="99"/>
    </row>
    <row r="12" customFormat="false" ht="15" hidden="false" customHeight="true" outlineLevel="0" collapsed="false">
      <c r="A12" s="5" t="s">
        <v>573</v>
      </c>
      <c r="B12" s="5"/>
      <c r="C12" s="5"/>
      <c r="D12" s="5"/>
      <c r="E12" s="5"/>
      <c r="F12" s="5"/>
      <c r="G12" s="5"/>
      <c r="H12" s="5"/>
    </row>
    <row r="13" customFormat="false" ht="15" hidden="false" customHeight="true" outlineLevel="0" collapsed="false">
      <c r="A13" s="94" t="s">
        <v>574</v>
      </c>
      <c r="B13" s="31"/>
      <c r="C13" s="31" t="n">
        <v>38907</v>
      </c>
      <c r="D13" s="31" t="n">
        <v>40732</v>
      </c>
      <c r="E13" s="31" t="n">
        <v>42221</v>
      </c>
      <c r="F13" s="96" t="s">
        <v>570</v>
      </c>
    </row>
    <row r="14" customFormat="false" ht="15" hidden="false" customHeight="true" outlineLevel="0" collapsed="false">
      <c r="A14" s="97" t="s">
        <v>575</v>
      </c>
      <c r="B14" s="12"/>
      <c r="C14" s="12" t="n">
        <v>38907</v>
      </c>
      <c r="D14" s="12" t="n">
        <v>40732</v>
      </c>
      <c r="E14" s="12" t="n">
        <v>42221</v>
      </c>
      <c r="F14" s="99"/>
    </row>
    <row r="16" customFormat="false" ht="15" hidden="false" customHeight="true" outlineLevel="0" collapsed="false">
      <c r="A16" s="103" t="s">
        <v>576</v>
      </c>
      <c r="B16" s="17" t="n">
        <v>244834</v>
      </c>
      <c r="C16" s="17" t="n">
        <v>167152</v>
      </c>
      <c r="D16" s="17" t="n">
        <v>165358</v>
      </c>
      <c r="E16" s="17" t="n">
        <v>162316</v>
      </c>
      <c r="F16" s="104"/>
    </row>
    <row r="18" customFormat="false" ht="15" hidden="false" customHeight="true" outlineLevel="0" collapsed="false">
      <c r="A18" s="5" t="s">
        <v>577</v>
      </c>
      <c r="B18" s="5"/>
      <c r="C18" s="5"/>
      <c r="D18" s="5"/>
      <c r="E18" s="5"/>
      <c r="F18" s="5"/>
      <c r="G18" s="5"/>
      <c r="H18" s="5"/>
    </row>
    <row r="19" customFormat="false" ht="15" hidden="false" customHeight="true" outlineLevel="0" collapsed="false">
      <c r="A19" s="22" t="s">
        <v>578</v>
      </c>
      <c r="B19" s="22"/>
      <c r="C19" s="22"/>
      <c r="D19" s="22"/>
      <c r="E19" s="22"/>
      <c r="F19" s="22"/>
    </row>
    <row r="21" customFormat="false" ht="15" hidden="false" customHeight="true" outlineLevel="0" collapsed="false">
      <c r="A21" s="23" t="s">
        <v>579</v>
      </c>
      <c r="B21" s="23" t="s">
        <v>580</v>
      </c>
      <c r="C21" s="23"/>
      <c r="D21" s="23"/>
      <c r="E21" s="23"/>
      <c r="F21" s="23"/>
    </row>
    <row r="22" customFormat="false" ht="15" hidden="false" customHeight="true" outlineLevel="0" collapsed="false">
      <c r="A22" s="100" t="s">
        <v>581</v>
      </c>
      <c r="B22" s="101" t="n">
        <v>19440</v>
      </c>
      <c r="C22" s="102"/>
      <c r="D22" s="102"/>
      <c r="E22" s="102"/>
      <c r="F22" s="102" t="s">
        <v>541</v>
      </c>
    </row>
    <row r="23" customFormat="false" ht="15" hidden="false" customHeight="true" outlineLevel="0" collapsed="false">
      <c r="A23" s="100" t="s">
        <v>582</v>
      </c>
      <c r="B23" s="101" t="n">
        <v>27887</v>
      </c>
      <c r="C23" s="102"/>
      <c r="D23" s="102"/>
      <c r="E23" s="102"/>
      <c r="F23" s="102" t="s">
        <v>541</v>
      </c>
    </row>
    <row r="24" customFormat="false" ht="15" hidden="false" customHeight="true" outlineLevel="0" collapsed="false">
      <c r="A24" s="97" t="s">
        <v>583</v>
      </c>
      <c r="B24" s="12" t="n">
        <v>47327</v>
      </c>
      <c r="C24" s="99"/>
      <c r="D24" s="99"/>
      <c r="E24" s="99"/>
      <c r="F24" s="99"/>
    </row>
    <row r="26" customFormat="false" ht="15" hidden="false" customHeight="true" outlineLevel="0" collapsed="false">
      <c r="A26" s="5" t="s">
        <v>584</v>
      </c>
      <c r="B26" s="5"/>
      <c r="C26" s="5"/>
      <c r="D26" s="5"/>
      <c r="E26" s="5"/>
      <c r="F26" s="5"/>
      <c r="G26" s="5"/>
      <c r="H26" s="5"/>
    </row>
    <row r="27" customFormat="false" ht="15" hidden="false" customHeight="true" outlineLevel="0" collapsed="false">
      <c r="A27" s="23" t="s">
        <v>585</v>
      </c>
      <c r="B27" s="23" t="s">
        <v>586</v>
      </c>
      <c r="C27" s="23"/>
      <c r="D27" s="23"/>
      <c r="E27" s="23"/>
      <c r="F27" s="23"/>
    </row>
    <row r="28" customFormat="false" ht="15" hidden="false" customHeight="true" outlineLevel="0" collapsed="false">
      <c r="A28" s="94" t="s">
        <v>369</v>
      </c>
      <c r="B28" s="31" t="n">
        <v>15832</v>
      </c>
      <c r="C28" s="96"/>
      <c r="D28" s="96"/>
      <c r="E28" s="96"/>
      <c r="F28" s="96" t="s">
        <v>587</v>
      </c>
    </row>
    <row r="29" customFormat="false" ht="15" hidden="false" customHeight="true" outlineLevel="0" collapsed="false">
      <c r="A29" s="94" t="s">
        <v>370</v>
      </c>
      <c r="B29" s="31" t="n">
        <v>15832</v>
      </c>
      <c r="C29" s="96"/>
      <c r="D29" s="96"/>
      <c r="E29" s="96"/>
      <c r="F29" s="96" t="s">
        <v>587</v>
      </c>
    </row>
    <row r="30" customFormat="false" ht="15" hidden="false" customHeight="true" outlineLevel="0" collapsed="false">
      <c r="A30" s="94" t="s">
        <v>588</v>
      </c>
      <c r="B30" s="31" t="n">
        <v>130652</v>
      </c>
      <c r="C30" s="96"/>
      <c r="D30" s="96"/>
      <c r="E30" s="96"/>
      <c r="F30" s="96" t="s">
        <v>589</v>
      </c>
    </row>
    <row r="31" customFormat="false" ht="15" hidden="false" customHeight="true" outlineLevel="0" collapsed="false">
      <c r="A31" s="103" t="s">
        <v>590</v>
      </c>
      <c r="B31" s="17" t="n">
        <v>162316</v>
      </c>
      <c r="C31" s="104"/>
      <c r="D31" s="104"/>
      <c r="E31" s="104"/>
      <c r="F31" s="104"/>
    </row>
    <row r="33" customFormat="false" ht="15" hidden="false" customHeight="true" outlineLevel="0" collapsed="false">
      <c r="A33" s="21" t="s">
        <v>497</v>
      </c>
    </row>
    <row r="34" customFormat="false" ht="15" hidden="false" customHeight="true" outlineLevel="0" collapsed="false">
      <c r="A34" s="22" t="s">
        <v>591</v>
      </c>
      <c r="B34" s="22"/>
      <c r="C34" s="22"/>
      <c r="D34" s="22"/>
      <c r="E34" s="22"/>
      <c r="F34" s="22"/>
      <c r="G34" s="22"/>
      <c r="H34" s="22"/>
    </row>
    <row r="35" customFormat="false" ht="15" hidden="false" customHeight="true" outlineLevel="0" collapsed="false">
      <c r="A35" s="22" t="s">
        <v>592</v>
      </c>
      <c r="B35" s="22"/>
      <c r="C35" s="22"/>
      <c r="D35" s="22"/>
      <c r="E35" s="22"/>
      <c r="F35" s="22"/>
      <c r="G35" s="22"/>
      <c r="H35" s="22"/>
    </row>
    <row r="36" customFormat="false" ht="15" hidden="false" customHeight="true" outlineLevel="0" collapsed="false">
      <c r="A36" s="22" t="s">
        <v>593</v>
      </c>
      <c r="B36" s="22"/>
      <c r="C36" s="22"/>
      <c r="D36" s="22"/>
      <c r="E36" s="22"/>
      <c r="F36" s="22"/>
      <c r="G36" s="22"/>
      <c r="H36" s="22"/>
    </row>
    <row r="37" customFormat="false" ht="15" hidden="false" customHeight="true" outlineLevel="0" collapsed="false">
      <c r="A37" s="22" t="s">
        <v>594</v>
      </c>
      <c r="B37" s="22"/>
      <c r="C37" s="22"/>
      <c r="D37" s="22"/>
      <c r="E37" s="22"/>
      <c r="F37" s="22"/>
      <c r="G37" s="22"/>
      <c r="H37" s="22"/>
    </row>
    <row r="38" customFormat="false" ht="15" hidden="false" customHeight="true" outlineLevel="0" collapsed="false">
      <c r="A38" s="22" t="s">
        <v>595</v>
      </c>
      <c r="B38" s="22"/>
      <c r="C38" s="22"/>
      <c r="D38" s="22"/>
      <c r="E38" s="22"/>
      <c r="F38" s="22"/>
      <c r="G38" s="22"/>
      <c r="H38" s="22"/>
    </row>
    <row r="39" customFormat="false" ht="15" hidden="false" customHeight="true" outlineLevel="0" collapsed="false">
      <c r="A39" s="22" t="s">
        <v>596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true" outlineLevel="0" collapsed="false">
      <c r="A40" s="22" t="s">
        <v>597</v>
      </c>
      <c r="B40" s="22"/>
      <c r="C40" s="22"/>
      <c r="D40" s="22"/>
      <c r="E40" s="22"/>
      <c r="F40" s="22"/>
      <c r="G40" s="22"/>
      <c r="H40" s="22"/>
    </row>
  </sheetData>
  <mergeCells count="14">
    <mergeCell ref="A1:H1"/>
    <mergeCell ref="A2:H2"/>
    <mergeCell ref="A6:H6"/>
    <mergeCell ref="A12:H12"/>
    <mergeCell ref="A18:H18"/>
    <mergeCell ref="A19:F19"/>
    <mergeCell ref="A26:H26"/>
    <mergeCell ref="A34:H34"/>
    <mergeCell ref="A35:H35"/>
    <mergeCell ref="A36:H36"/>
    <mergeCell ref="A37:H37"/>
    <mergeCell ref="A38:H38"/>
    <mergeCell ref="A39:H39"/>
    <mergeCell ref="A40:H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" t="s">
        <v>598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599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5" t="s">
        <v>600</v>
      </c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3" t="s">
        <v>601</v>
      </c>
      <c r="B5" s="23" t="s">
        <v>524</v>
      </c>
      <c r="C5" s="23" t="s">
        <v>580</v>
      </c>
      <c r="D5" s="23" t="s">
        <v>602</v>
      </c>
      <c r="E5" s="23"/>
      <c r="F5" s="23"/>
    </row>
    <row r="6" customFormat="false" ht="15" hidden="false" customHeight="true" outlineLevel="0" collapsed="false">
      <c r="A6" s="94" t="s">
        <v>603</v>
      </c>
      <c r="B6" s="94" t="s">
        <v>604</v>
      </c>
      <c r="C6" s="105"/>
      <c r="D6" s="106" t="s">
        <v>605</v>
      </c>
    </row>
    <row r="7" customFormat="false" ht="15" hidden="false" customHeight="true" outlineLevel="0" collapsed="false">
      <c r="A7" s="94" t="s">
        <v>606</v>
      </c>
      <c r="B7" s="94" t="s">
        <v>607</v>
      </c>
      <c r="C7" s="9" t="n">
        <v>138195</v>
      </c>
      <c r="D7" s="106" t="s">
        <v>608</v>
      </c>
    </row>
    <row r="8" customFormat="false" ht="15" hidden="false" customHeight="true" outlineLevel="0" collapsed="false">
      <c r="A8" s="94" t="s">
        <v>609</v>
      </c>
      <c r="B8" s="94" t="s">
        <v>610</v>
      </c>
      <c r="C8" s="9" t="n">
        <v>7885</v>
      </c>
      <c r="D8" s="106" t="s">
        <v>608</v>
      </c>
    </row>
    <row r="9" customFormat="false" ht="15" hidden="false" customHeight="true" outlineLevel="0" collapsed="false">
      <c r="A9" s="94" t="s">
        <v>611</v>
      </c>
      <c r="B9" s="94" t="s">
        <v>612</v>
      </c>
      <c r="C9" s="9" t="n">
        <v>146080</v>
      </c>
      <c r="D9" s="106" t="s">
        <v>613</v>
      </c>
    </row>
    <row r="10" customFormat="false" ht="15" hidden="false" customHeight="true" outlineLevel="0" collapsed="false">
      <c r="A10" s="94" t="s">
        <v>614</v>
      </c>
      <c r="B10" s="94" t="s">
        <v>615</v>
      </c>
      <c r="C10" s="105"/>
      <c r="D10" s="106" t="s">
        <v>616</v>
      </c>
    </row>
    <row r="11" customFormat="false" ht="15" hidden="false" customHeight="true" outlineLevel="0" collapsed="false">
      <c r="A11" s="100" t="s">
        <v>617</v>
      </c>
      <c r="B11" s="100" t="s">
        <v>618</v>
      </c>
      <c r="C11" s="34" t="n">
        <v>146080</v>
      </c>
      <c r="D11" s="107" t="s">
        <v>619</v>
      </c>
      <c r="E11" s="38"/>
      <c r="F11" s="38"/>
    </row>
    <row r="14" customFormat="false" ht="15" hidden="false" customHeight="true" outlineLevel="0" collapsed="false">
      <c r="A14" s="5" t="s">
        <v>620</v>
      </c>
      <c r="B14" s="5"/>
      <c r="C14" s="5"/>
      <c r="D14" s="5"/>
      <c r="E14" s="5"/>
      <c r="F14" s="5"/>
      <c r="G14" s="5"/>
      <c r="H14" s="5"/>
    </row>
    <row r="15" customFormat="false" ht="15" hidden="false" customHeight="true" outlineLevel="0" collapsed="false">
      <c r="A15" s="23" t="s">
        <v>2</v>
      </c>
      <c r="B15" s="23" t="s">
        <v>522</v>
      </c>
      <c r="C15" s="23" t="s">
        <v>523</v>
      </c>
      <c r="D15" s="23" t="s">
        <v>533</v>
      </c>
      <c r="E15" s="23"/>
      <c r="F15" s="23"/>
    </row>
    <row r="16" customFormat="false" ht="15" hidden="false" customHeight="true" outlineLevel="0" collapsed="false">
      <c r="A16" s="94" t="s">
        <v>621</v>
      </c>
      <c r="B16" s="31" t="n">
        <v>146080</v>
      </c>
      <c r="C16" s="31" t="n">
        <v>146080</v>
      </c>
      <c r="D16" s="96" t="s">
        <v>622</v>
      </c>
      <c r="E16" s="96"/>
      <c r="F16" s="96"/>
    </row>
    <row r="18" customFormat="false" ht="15" hidden="false" customHeight="true" outlineLevel="0" collapsed="false">
      <c r="A18" s="5" t="s">
        <v>623</v>
      </c>
      <c r="B18" s="5"/>
      <c r="C18" s="5"/>
      <c r="D18" s="5"/>
      <c r="E18" s="5"/>
      <c r="F18" s="5"/>
      <c r="G18" s="5"/>
      <c r="H18" s="5"/>
    </row>
    <row r="19" customFormat="false" ht="79.5" hidden="false" customHeight="true" outlineLevel="0" collapsed="false">
      <c r="A19" s="108" t="s">
        <v>624</v>
      </c>
      <c r="B19" s="108"/>
      <c r="C19" s="108"/>
      <c r="D19" s="108"/>
      <c r="E19" s="108"/>
      <c r="F19" s="108"/>
    </row>
    <row r="20" customFormat="false" ht="15" hidden="false" customHeight="true" outlineLevel="0" collapsed="false">
      <c r="A20" s="108"/>
      <c r="B20" s="108"/>
      <c r="C20" s="108"/>
      <c r="D20" s="108"/>
      <c r="E20" s="108"/>
      <c r="F20" s="108"/>
    </row>
    <row r="21" customFormat="false" ht="15" hidden="false" customHeight="true" outlineLevel="0" collapsed="false">
      <c r="A21" s="108"/>
      <c r="B21" s="108"/>
      <c r="C21" s="108"/>
      <c r="D21" s="108"/>
      <c r="E21" s="108"/>
      <c r="F21" s="108"/>
    </row>
    <row r="22" customFormat="false" ht="15" hidden="false" customHeight="true" outlineLevel="0" collapsed="false">
      <c r="A22" s="108"/>
      <c r="B22" s="108"/>
      <c r="C22" s="108"/>
      <c r="D22" s="108"/>
      <c r="E22" s="108"/>
      <c r="F22" s="108"/>
    </row>
    <row r="24" customFormat="false" ht="15" hidden="false" customHeight="true" outlineLevel="0" collapsed="false">
      <c r="A24" s="21" t="s">
        <v>497</v>
      </c>
    </row>
    <row r="25" customFormat="false" ht="15" hidden="false" customHeight="true" outlineLevel="0" collapsed="false">
      <c r="A25" s="22" t="s">
        <v>625</v>
      </c>
      <c r="B25" s="22"/>
      <c r="C25" s="22"/>
      <c r="D25" s="22"/>
      <c r="E25" s="22"/>
      <c r="F25" s="22"/>
      <c r="G25" s="22"/>
      <c r="H25" s="22"/>
    </row>
    <row r="26" customFormat="false" ht="15" hidden="false" customHeight="true" outlineLevel="0" collapsed="false">
      <c r="A26" s="22" t="s">
        <v>626</v>
      </c>
      <c r="B26" s="22"/>
      <c r="C26" s="22"/>
      <c r="D26" s="22"/>
      <c r="E26" s="22"/>
      <c r="F26" s="22"/>
      <c r="G26" s="22"/>
      <c r="H26" s="22"/>
    </row>
    <row r="27" customFormat="false" ht="15" hidden="false" customHeight="true" outlineLevel="0" collapsed="false">
      <c r="A27" s="22" t="s">
        <v>627</v>
      </c>
      <c r="B27" s="22"/>
      <c r="C27" s="22"/>
      <c r="D27" s="22"/>
      <c r="E27" s="22"/>
      <c r="F27" s="22"/>
      <c r="G27" s="22"/>
      <c r="H27" s="22"/>
    </row>
    <row r="28" customFormat="false" ht="15" hidden="false" customHeight="true" outlineLevel="0" collapsed="false">
      <c r="A28" s="22" t="s">
        <v>628</v>
      </c>
      <c r="B28" s="22"/>
      <c r="C28" s="22"/>
      <c r="D28" s="22"/>
      <c r="E28" s="22"/>
      <c r="F28" s="22"/>
      <c r="G28" s="22"/>
      <c r="H28" s="22"/>
    </row>
    <row r="29" customFormat="false" ht="15" hidden="false" customHeight="true" outlineLevel="0" collapsed="false">
      <c r="A29" s="22" t="s">
        <v>629</v>
      </c>
      <c r="B29" s="22"/>
      <c r="C29" s="22"/>
      <c r="D29" s="22"/>
      <c r="E29" s="22"/>
      <c r="F29" s="22"/>
      <c r="G29" s="22"/>
      <c r="H29" s="22"/>
    </row>
    <row r="30" customFormat="false" ht="15" hidden="false" customHeight="true" outlineLevel="0" collapsed="false">
      <c r="A30" s="22" t="s">
        <v>630</v>
      </c>
      <c r="B30" s="22"/>
      <c r="C30" s="22"/>
      <c r="D30" s="22"/>
      <c r="E30" s="22"/>
      <c r="F30" s="22"/>
      <c r="G30" s="22"/>
      <c r="H30" s="22"/>
    </row>
    <row r="31" customFormat="false" ht="15" hidden="false" customHeight="true" outlineLevel="0" collapsed="false">
      <c r="A31" s="22" t="s">
        <v>631</v>
      </c>
      <c r="B31" s="22"/>
      <c r="C31" s="22"/>
      <c r="D31" s="22"/>
      <c r="E31" s="22"/>
      <c r="F31" s="22"/>
      <c r="G31" s="22"/>
      <c r="H31" s="22"/>
    </row>
    <row r="38" customFormat="false" ht="15" hidden="false" customHeight="true" outlineLevel="0" collapsed="false">
      <c r="A38" s="109" t="s">
        <v>632</v>
      </c>
    </row>
  </sheetData>
  <mergeCells count="13">
    <mergeCell ref="A1:H1"/>
    <mergeCell ref="A2:H2"/>
    <mergeCell ref="A4:H4"/>
    <mergeCell ref="A14:H14"/>
    <mergeCell ref="A18:H18"/>
    <mergeCell ref="A19:F22"/>
    <mergeCell ref="A25:H25"/>
    <mergeCell ref="A26:H26"/>
    <mergeCell ref="A27:H27"/>
    <mergeCell ref="A28:H28"/>
    <mergeCell ref="A29:H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5" min="2" style="1" width="14"/>
  </cols>
  <sheetData>
    <row r="1" customFormat="false" ht="17.25" hidden="false" customHeight="true" outlineLevel="0" collapsed="false">
      <c r="A1" s="2" t="s">
        <v>633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634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5" t="s">
        <v>635</v>
      </c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3" t="s">
        <v>636</v>
      </c>
      <c r="B5" s="23" t="s">
        <v>580</v>
      </c>
      <c r="C5" s="23" t="s">
        <v>533</v>
      </c>
      <c r="D5" s="23"/>
      <c r="E5" s="23"/>
    </row>
    <row r="6" customFormat="false" ht="15" hidden="false" customHeight="true" outlineLevel="0" collapsed="false">
      <c r="A6" s="94" t="s">
        <v>637</v>
      </c>
      <c r="B6" s="96" t="s">
        <v>638</v>
      </c>
      <c r="C6" s="96" t="s">
        <v>639</v>
      </c>
      <c r="D6" s="96"/>
      <c r="E6" s="96"/>
    </row>
    <row r="7" customFormat="false" ht="15" hidden="false" customHeight="true" outlineLevel="0" collapsed="false">
      <c r="A7" s="94" t="s">
        <v>640</v>
      </c>
      <c r="B7" s="90" t="n">
        <v>0.65</v>
      </c>
      <c r="C7" s="96" t="s">
        <v>641</v>
      </c>
      <c r="D7" s="96"/>
      <c r="E7" s="96"/>
    </row>
    <row r="8" customFormat="false" ht="15" hidden="false" customHeight="true" outlineLevel="0" collapsed="false">
      <c r="A8" s="94" t="s">
        <v>642</v>
      </c>
      <c r="B8" s="90" t="n">
        <v>0.35</v>
      </c>
      <c r="C8" s="96" t="s">
        <v>643</v>
      </c>
      <c r="D8" s="96"/>
      <c r="E8" s="96"/>
    </row>
    <row r="9" customFormat="false" ht="15" hidden="false" customHeight="true" outlineLevel="0" collapsed="false">
      <c r="A9" s="94" t="s">
        <v>644</v>
      </c>
      <c r="B9" s="31" t="n">
        <v>20061</v>
      </c>
      <c r="C9" s="96" t="s">
        <v>611</v>
      </c>
      <c r="D9" s="96"/>
      <c r="E9" s="96"/>
    </row>
    <row r="10" customFormat="false" ht="15" hidden="false" customHeight="true" outlineLevel="0" collapsed="false">
      <c r="A10" s="94" t="s">
        <v>645</v>
      </c>
      <c r="B10" s="31" t="n">
        <v>9024</v>
      </c>
      <c r="C10" s="96" t="s">
        <v>646</v>
      </c>
      <c r="D10" s="96"/>
      <c r="E10" s="96"/>
    </row>
    <row r="11" customFormat="false" ht="15" hidden="false" customHeight="true" outlineLevel="0" collapsed="false">
      <c r="A11" s="110" t="s">
        <v>647</v>
      </c>
      <c r="B11" s="111" t="n">
        <v>7174</v>
      </c>
      <c r="C11" s="112" t="s">
        <v>648</v>
      </c>
      <c r="D11" s="112"/>
      <c r="E11" s="112"/>
    </row>
    <row r="13" customFormat="false" ht="15" hidden="false" customHeight="true" outlineLevel="0" collapsed="false">
      <c r="A13" s="5" t="s">
        <v>649</v>
      </c>
      <c r="B13" s="5"/>
      <c r="C13" s="5"/>
      <c r="D13" s="5"/>
      <c r="E13" s="5"/>
      <c r="F13" s="5"/>
      <c r="G13" s="5"/>
      <c r="H13" s="5"/>
    </row>
    <row r="14" customFormat="false" ht="15" hidden="false" customHeight="true" outlineLevel="0" collapsed="false">
      <c r="A14" s="23" t="s">
        <v>636</v>
      </c>
      <c r="B14" s="23" t="s">
        <v>580</v>
      </c>
      <c r="C14" s="23" t="s">
        <v>533</v>
      </c>
      <c r="D14" s="23"/>
      <c r="E14" s="23"/>
    </row>
    <row r="15" customFormat="false" ht="15" hidden="false" customHeight="true" outlineLevel="0" collapsed="false">
      <c r="A15" s="94" t="s">
        <v>650</v>
      </c>
      <c r="B15" s="96" t="s">
        <v>651</v>
      </c>
      <c r="C15" s="96" t="s">
        <v>652</v>
      </c>
      <c r="D15" s="96"/>
      <c r="E15" s="96"/>
    </row>
    <row r="16" customFormat="false" ht="15" hidden="false" customHeight="true" outlineLevel="0" collapsed="false">
      <c r="A16" s="94" t="s">
        <v>653</v>
      </c>
      <c r="B16" s="96" t="s">
        <v>654</v>
      </c>
      <c r="C16" s="96" t="s">
        <v>655</v>
      </c>
      <c r="D16" s="96"/>
      <c r="E16" s="96"/>
    </row>
    <row r="17" customFormat="false" ht="15" hidden="false" customHeight="true" outlineLevel="0" collapsed="false">
      <c r="A17" s="94" t="s">
        <v>656</v>
      </c>
      <c r="B17" s="31" t="n">
        <v>401218</v>
      </c>
      <c r="C17" s="96" t="s">
        <v>657</v>
      </c>
      <c r="D17" s="96"/>
      <c r="E17" s="96"/>
    </row>
    <row r="18" customFormat="false" ht="15" hidden="false" customHeight="true" outlineLevel="0" collapsed="false">
      <c r="A18" s="94" t="s">
        <v>658</v>
      </c>
      <c r="B18" s="31" t="n">
        <v>178084</v>
      </c>
      <c r="C18" s="96" t="s">
        <v>659</v>
      </c>
      <c r="D18" s="96"/>
      <c r="E18" s="96"/>
    </row>
    <row r="19" customFormat="false" ht="15" hidden="false" customHeight="true" outlineLevel="0" collapsed="false">
      <c r="A19" s="94" t="s">
        <v>660</v>
      </c>
      <c r="B19" s="31" t="n">
        <v>8900</v>
      </c>
      <c r="C19" s="96" t="s">
        <v>661</v>
      </c>
      <c r="D19" s="96"/>
      <c r="E19" s="96"/>
    </row>
    <row r="20" customFormat="false" ht="15" hidden="false" customHeight="true" outlineLevel="0" collapsed="false">
      <c r="A20" s="94" t="s">
        <v>662</v>
      </c>
      <c r="B20" s="31" t="n">
        <v>20000</v>
      </c>
      <c r="C20" s="96" t="s">
        <v>663</v>
      </c>
      <c r="D20" s="96"/>
      <c r="E20" s="96"/>
    </row>
    <row r="22" customFormat="false" ht="15" hidden="false" customHeight="true" outlineLevel="0" collapsed="false">
      <c r="A22" s="5" t="s">
        <v>664</v>
      </c>
      <c r="B22" s="5"/>
      <c r="C22" s="5"/>
      <c r="D22" s="5"/>
      <c r="E22" s="5"/>
      <c r="F22" s="5"/>
      <c r="G22" s="5"/>
      <c r="H22" s="5"/>
    </row>
    <row r="23" customFormat="false" ht="15" hidden="false" customHeight="true" outlineLevel="0" collapsed="false">
      <c r="A23" s="23" t="s">
        <v>636</v>
      </c>
      <c r="B23" s="23" t="s">
        <v>665</v>
      </c>
      <c r="C23" s="23" t="s">
        <v>666</v>
      </c>
      <c r="D23" s="23" t="s">
        <v>667</v>
      </c>
      <c r="E23" s="23"/>
    </row>
    <row r="24" customFormat="false" ht="15" hidden="false" customHeight="true" outlineLevel="0" collapsed="false">
      <c r="A24" s="94" t="s">
        <v>668</v>
      </c>
      <c r="B24" s="31"/>
      <c r="C24" s="31" t="n">
        <v>245137</v>
      </c>
      <c r="D24" s="31"/>
      <c r="E24" s="96"/>
    </row>
    <row r="25" customFormat="false" ht="15" hidden="false" customHeight="true" outlineLevel="0" collapsed="false">
      <c r="A25" s="94" t="s">
        <v>669</v>
      </c>
      <c r="B25" s="31"/>
      <c r="C25" s="31" t="n">
        <v>235306</v>
      </c>
      <c r="D25" s="31"/>
      <c r="E25" s="96"/>
    </row>
    <row r="26" customFormat="false" ht="15" hidden="false" customHeight="true" outlineLevel="0" collapsed="false">
      <c r="A26" s="94" t="s">
        <v>670</v>
      </c>
      <c r="B26" s="31" t="n">
        <v>3695</v>
      </c>
      <c r="C26" s="31" t="n">
        <v>9831</v>
      </c>
      <c r="D26" s="31" t="n">
        <v>6136</v>
      </c>
      <c r="E26" s="96"/>
    </row>
    <row r="27" customFormat="false" ht="15" hidden="false" customHeight="true" outlineLevel="0" collapsed="false">
      <c r="A27" s="100" t="s">
        <v>671</v>
      </c>
      <c r="B27" s="101" t="n">
        <v>16711</v>
      </c>
      <c r="C27" s="101" t="n">
        <v>116400</v>
      </c>
      <c r="D27" s="101" t="n">
        <v>99689</v>
      </c>
      <c r="E27" s="102" t="s">
        <v>672</v>
      </c>
    </row>
    <row r="28" customFormat="false" ht="15" hidden="false" customHeight="true" outlineLevel="0" collapsed="false">
      <c r="A28" s="97" t="s">
        <v>673</v>
      </c>
      <c r="B28" s="12" t="n">
        <v>-5330</v>
      </c>
      <c r="C28" s="12" t="n">
        <v>21445</v>
      </c>
      <c r="D28" s="12" t="n">
        <v>26775</v>
      </c>
      <c r="E28" s="99" t="s">
        <v>674</v>
      </c>
    </row>
    <row r="30" customFormat="false" ht="15" hidden="false" customHeight="true" outlineLevel="0" collapsed="false">
      <c r="A30" s="5" t="s">
        <v>675</v>
      </c>
      <c r="B30" s="5"/>
      <c r="C30" s="5"/>
      <c r="D30" s="5"/>
      <c r="E30" s="5"/>
      <c r="F30" s="5"/>
      <c r="G30" s="5"/>
      <c r="H30" s="5"/>
    </row>
    <row r="31" customFormat="false" ht="15" hidden="false" customHeight="true" outlineLevel="0" collapsed="false">
      <c r="A31" s="23" t="s">
        <v>636</v>
      </c>
      <c r="B31" s="23" t="s">
        <v>522</v>
      </c>
      <c r="C31" s="23" t="s">
        <v>523</v>
      </c>
      <c r="D31" s="23" t="s">
        <v>676</v>
      </c>
      <c r="E31" s="23"/>
    </row>
    <row r="32" customFormat="false" ht="15" hidden="false" customHeight="true" outlineLevel="0" collapsed="false">
      <c r="A32" s="94" t="s">
        <v>677</v>
      </c>
      <c r="B32" s="31" t="n">
        <v>-3465</v>
      </c>
      <c r="C32" s="31" t="n">
        <v>13939</v>
      </c>
      <c r="D32" s="31" t="n">
        <v>10474</v>
      </c>
      <c r="E32" s="96" t="s">
        <v>678</v>
      </c>
    </row>
    <row r="33" customFormat="false" ht="15" hidden="false" customHeight="true" outlineLevel="0" collapsed="false">
      <c r="A33" s="94" t="s">
        <v>679</v>
      </c>
      <c r="B33" s="31" t="n">
        <v>0</v>
      </c>
      <c r="C33" s="31" t="n">
        <v>15309</v>
      </c>
      <c r="D33" s="31" t="n">
        <v>15309</v>
      </c>
      <c r="E33" s="96" t="s">
        <v>680</v>
      </c>
    </row>
    <row r="34" customFormat="false" ht="15" hidden="false" customHeight="true" outlineLevel="0" collapsed="false">
      <c r="A34" s="100" t="s">
        <v>681</v>
      </c>
      <c r="B34" s="101" t="n">
        <v>0</v>
      </c>
      <c r="C34" s="101" t="n">
        <v>9951</v>
      </c>
      <c r="D34" s="101" t="n">
        <v>9951</v>
      </c>
      <c r="E34" s="102" t="s">
        <v>682</v>
      </c>
    </row>
    <row r="35" customFormat="false" ht="15" hidden="false" customHeight="true" outlineLevel="0" collapsed="false">
      <c r="A35" s="94" t="s">
        <v>683</v>
      </c>
      <c r="B35" s="31" t="n">
        <v>0</v>
      </c>
      <c r="C35" s="31" t="n">
        <v>0</v>
      </c>
      <c r="D35" s="31" t="n">
        <v>0</v>
      </c>
      <c r="E35" s="96" t="s">
        <v>684</v>
      </c>
    </row>
    <row r="37" customFormat="false" ht="15" hidden="false" customHeight="true" outlineLevel="0" collapsed="false">
      <c r="A37" s="5" t="s">
        <v>685</v>
      </c>
      <c r="B37" s="5"/>
      <c r="C37" s="5"/>
      <c r="D37" s="5"/>
      <c r="E37" s="5"/>
      <c r="F37" s="5"/>
      <c r="G37" s="5"/>
      <c r="H37" s="5"/>
    </row>
    <row r="38" customFormat="false" ht="15" hidden="false" customHeight="true" outlineLevel="0" collapsed="false">
      <c r="A38" s="113" t="s">
        <v>632</v>
      </c>
      <c r="B38" s="113"/>
      <c r="C38" s="113"/>
      <c r="D38" s="113"/>
      <c r="E38" s="113"/>
    </row>
    <row r="40" customFormat="false" ht="15" hidden="false" customHeight="true" outlineLevel="0" collapsed="false">
      <c r="A40" s="23" t="s">
        <v>686</v>
      </c>
      <c r="B40" s="23" t="s">
        <v>522</v>
      </c>
      <c r="C40" s="23" t="s">
        <v>523</v>
      </c>
      <c r="D40" s="23" t="s">
        <v>687</v>
      </c>
      <c r="E40" s="23"/>
    </row>
    <row r="41" customFormat="false" ht="15" hidden="false" customHeight="true" outlineLevel="0" collapsed="false">
      <c r="A41" s="94" t="s">
        <v>688</v>
      </c>
      <c r="B41" s="31" t="n">
        <v>2494</v>
      </c>
      <c r="C41" s="31" t="n">
        <v>4025</v>
      </c>
      <c r="D41" s="90" t="n">
        <v>0.614</v>
      </c>
      <c r="E41" s="96" t="s">
        <v>689</v>
      </c>
    </row>
    <row r="42" customFormat="false" ht="15" hidden="false" customHeight="true" outlineLevel="0" collapsed="false">
      <c r="A42" s="94" t="s">
        <v>690</v>
      </c>
      <c r="B42" s="31" t="n">
        <v>367</v>
      </c>
      <c r="C42" s="31" t="n">
        <v>450</v>
      </c>
      <c r="D42" s="90" t="n">
        <v>0.226</v>
      </c>
      <c r="E42" s="96" t="s">
        <v>691</v>
      </c>
    </row>
    <row r="43" customFormat="false" ht="15" hidden="false" customHeight="true" outlineLevel="0" collapsed="false">
      <c r="A43" s="97" t="s">
        <v>692</v>
      </c>
      <c r="B43" s="12" t="n">
        <v>2861</v>
      </c>
      <c r="C43" s="12" t="n">
        <v>4475</v>
      </c>
      <c r="D43" s="99"/>
      <c r="E43" s="99"/>
    </row>
    <row r="44" customFormat="false" ht="15" hidden="false" customHeight="true" outlineLevel="0" collapsed="false">
      <c r="A44" s="94" t="s">
        <v>693</v>
      </c>
      <c r="B44" s="31" t="n">
        <v>2546</v>
      </c>
      <c r="C44" s="31" t="n">
        <v>14706</v>
      </c>
      <c r="D44" s="96"/>
      <c r="E44" s="96" t="s">
        <v>694</v>
      </c>
    </row>
    <row r="46" customFormat="false" ht="15" hidden="false" customHeight="true" outlineLevel="0" collapsed="false">
      <c r="A46" s="21" t="s">
        <v>497</v>
      </c>
    </row>
    <row r="47" customFormat="false" ht="15" hidden="false" customHeight="true" outlineLevel="0" collapsed="false">
      <c r="A47" s="22" t="s">
        <v>695</v>
      </c>
      <c r="B47" s="22"/>
      <c r="C47" s="22"/>
      <c r="D47" s="22"/>
      <c r="E47" s="22"/>
      <c r="F47" s="22"/>
      <c r="G47" s="22"/>
      <c r="H47" s="22"/>
    </row>
    <row r="48" customFormat="false" ht="15" hidden="false" customHeight="true" outlineLevel="0" collapsed="false">
      <c r="A48" s="22" t="s">
        <v>696</v>
      </c>
      <c r="B48" s="22"/>
      <c r="C48" s="22"/>
      <c r="D48" s="22"/>
      <c r="E48" s="22"/>
      <c r="F48" s="22"/>
      <c r="G48" s="22"/>
      <c r="H48" s="22"/>
    </row>
    <row r="49" customFormat="false" ht="15" hidden="false" customHeight="true" outlineLevel="0" collapsed="false">
      <c r="A49" s="22" t="s">
        <v>697</v>
      </c>
      <c r="B49" s="22"/>
      <c r="C49" s="22"/>
      <c r="D49" s="22"/>
      <c r="E49" s="22"/>
      <c r="F49" s="22"/>
      <c r="G49" s="22"/>
      <c r="H49" s="22"/>
    </row>
    <row r="50" customFormat="false" ht="15" hidden="false" customHeight="true" outlineLevel="0" collapsed="false">
      <c r="A50" s="22" t="s">
        <v>698</v>
      </c>
      <c r="B50" s="22"/>
      <c r="C50" s="22"/>
      <c r="D50" s="22"/>
      <c r="E50" s="22"/>
      <c r="F50" s="22"/>
      <c r="G50" s="22"/>
      <c r="H50" s="22"/>
    </row>
    <row r="51" customFormat="false" ht="15" hidden="false" customHeight="true" outlineLevel="0" collapsed="false">
      <c r="A51" s="22" t="s">
        <v>699</v>
      </c>
      <c r="B51" s="22"/>
      <c r="C51" s="22"/>
      <c r="D51" s="22"/>
      <c r="E51" s="22"/>
      <c r="F51" s="22"/>
      <c r="G51" s="22"/>
      <c r="H51" s="22"/>
    </row>
    <row r="52" customFormat="false" ht="15" hidden="false" customHeight="true" outlineLevel="0" collapsed="false">
      <c r="A52" s="22" t="s">
        <v>700</v>
      </c>
      <c r="B52" s="22"/>
      <c r="C52" s="22"/>
      <c r="D52" s="22"/>
      <c r="E52" s="22"/>
      <c r="F52" s="22"/>
      <c r="G52" s="22"/>
      <c r="H52" s="22"/>
    </row>
    <row r="53" customFormat="false" ht="15" hidden="false" customHeight="true" outlineLevel="0" collapsed="false">
      <c r="A53" s="22" t="s">
        <v>701</v>
      </c>
      <c r="B53" s="22"/>
      <c r="C53" s="22"/>
      <c r="D53" s="22"/>
      <c r="E53" s="22"/>
      <c r="F53" s="22"/>
      <c r="G53" s="22"/>
      <c r="H53" s="22"/>
    </row>
    <row r="54" customFormat="false" ht="15" hidden="false" customHeight="true" outlineLevel="0" collapsed="false">
      <c r="A54" s="22" t="s">
        <v>702</v>
      </c>
      <c r="B54" s="22"/>
      <c r="C54" s="22"/>
      <c r="D54" s="22"/>
      <c r="E54" s="22"/>
      <c r="F54" s="22"/>
      <c r="G54" s="22"/>
      <c r="H54" s="22"/>
    </row>
  </sheetData>
  <mergeCells count="16">
    <mergeCell ref="A1:H1"/>
    <mergeCell ref="A2:H2"/>
    <mergeCell ref="A4:H4"/>
    <mergeCell ref="A13:H13"/>
    <mergeCell ref="A22:H22"/>
    <mergeCell ref="A30:H30"/>
    <mergeCell ref="A37:H37"/>
    <mergeCell ref="A38:E38"/>
    <mergeCell ref="A47:H47"/>
    <mergeCell ref="A48:H48"/>
    <mergeCell ref="A49:H49"/>
    <mergeCell ref="A50:H50"/>
    <mergeCell ref="A51:H51"/>
    <mergeCell ref="A52:H52"/>
    <mergeCell ref="A53:H53"/>
    <mergeCell ref="A54:H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6" min="2" style="1" width="12"/>
  </cols>
  <sheetData>
    <row r="1" customFormat="false" ht="17.25" hidden="false" customHeight="true" outlineLevel="0" collapsed="false">
      <c r="A1" s="2" t="s">
        <v>703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704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5" t="s">
        <v>705</v>
      </c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3" t="s">
        <v>706</v>
      </c>
      <c r="B5" s="23" t="s">
        <v>4</v>
      </c>
      <c r="C5" s="23" t="s">
        <v>5</v>
      </c>
      <c r="D5" s="23" t="s">
        <v>522</v>
      </c>
      <c r="E5" s="23" t="s">
        <v>523</v>
      </c>
      <c r="F5" s="23"/>
    </row>
    <row r="6" customFormat="false" ht="15" hidden="false" customHeight="true" outlineLevel="0" collapsed="false">
      <c r="A6" s="94" t="s">
        <v>707</v>
      </c>
      <c r="B6" s="90"/>
      <c r="C6" s="90" t="n">
        <v>0.31</v>
      </c>
      <c r="D6" s="90" t="n">
        <v>0.67</v>
      </c>
      <c r="E6" s="90"/>
      <c r="F6" s="96" t="s">
        <v>708</v>
      </c>
    </row>
    <row r="7" customFormat="false" ht="15" hidden="false" customHeight="true" outlineLevel="0" collapsed="false">
      <c r="A7" s="94" t="s">
        <v>709</v>
      </c>
      <c r="B7" s="90"/>
      <c r="C7" s="90"/>
      <c r="D7" s="90" t="n">
        <v>0.19</v>
      </c>
      <c r="E7" s="90" t="n">
        <v>0.12</v>
      </c>
      <c r="F7" s="96" t="s">
        <v>710</v>
      </c>
    </row>
    <row r="8" customFormat="false" ht="15" hidden="false" customHeight="true" outlineLevel="0" collapsed="false">
      <c r="A8" s="100" t="s">
        <v>711</v>
      </c>
      <c r="B8" s="114"/>
      <c r="C8" s="114"/>
      <c r="D8" s="114" t="n">
        <v>0.19</v>
      </c>
      <c r="E8" s="114" t="n">
        <v>0.02</v>
      </c>
      <c r="F8" s="102" t="s">
        <v>712</v>
      </c>
    </row>
    <row r="10" customFormat="false" ht="15" hidden="false" customHeight="true" outlineLevel="0" collapsed="false">
      <c r="A10" s="5" t="s">
        <v>713</v>
      </c>
      <c r="B10" s="5"/>
      <c r="C10" s="5"/>
      <c r="D10" s="5"/>
      <c r="E10" s="5"/>
      <c r="F10" s="5"/>
      <c r="G10" s="5"/>
      <c r="H10" s="5"/>
    </row>
    <row r="11" customFormat="false" ht="15" hidden="false" customHeight="true" outlineLevel="0" collapsed="false">
      <c r="A11" s="23" t="s">
        <v>564</v>
      </c>
      <c r="B11" s="23" t="s">
        <v>4</v>
      </c>
      <c r="C11" s="23" t="s">
        <v>5</v>
      </c>
      <c r="D11" s="23" t="s">
        <v>522</v>
      </c>
      <c r="E11" s="23" t="s">
        <v>523</v>
      </c>
      <c r="F11" s="23"/>
    </row>
    <row r="12" customFormat="false" ht="15" hidden="false" customHeight="true" outlineLevel="0" collapsed="false">
      <c r="A12" s="94" t="s">
        <v>714</v>
      </c>
      <c r="B12" s="31"/>
      <c r="C12" s="31"/>
      <c r="D12" s="31" t="n">
        <v>-35302</v>
      </c>
      <c r="E12" s="31" t="n">
        <v>0</v>
      </c>
      <c r="F12" s="96" t="s">
        <v>715</v>
      </c>
    </row>
    <row r="13" customFormat="false" ht="15" hidden="false" customHeight="true" outlineLevel="0" collapsed="false">
      <c r="A13" s="94" t="s">
        <v>716</v>
      </c>
      <c r="B13" s="31"/>
      <c r="C13" s="31" t="n">
        <v>8062</v>
      </c>
      <c r="D13" s="31" t="n">
        <v>0</v>
      </c>
      <c r="E13" s="31" t="n">
        <v>10820</v>
      </c>
      <c r="F13" s="96" t="s">
        <v>715</v>
      </c>
    </row>
    <row r="14" customFormat="false" ht="15" hidden="false" customHeight="true" outlineLevel="0" collapsed="false">
      <c r="A14" s="97" t="s">
        <v>717</v>
      </c>
      <c r="B14" s="12"/>
      <c r="C14" s="12" t="n">
        <v>8062</v>
      </c>
      <c r="D14" s="12" t="n">
        <v>-35302</v>
      </c>
      <c r="E14" s="12" t="n">
        <v>10820</v>
      </c>
      <c r="F14" s="99" t="s">
        <v>718</v>
      </c>
    </row>
    <row r="16" customFormat="false" ht="15" hidden="false" customHeight="true" outlineLevel="0" collapsed="false">
      <c r="A16" s="5" t="s">
        <v>719</v>
      </c>
      <c r="B16" s="5"/>
      <c r="C16" s="5"/>
      <c r="D16" s="5"/>
      <c r="E16" s="5"/>
      <c r="F16" s="5"/>
      <c r="G16" s="5"/>
      <c r="H16" s="5"/>
    </row>
    <row r="17" customFormat="false" ht="15" hidden="false" customHeight="true" outlineLevel="0" collapsed="false">
      <c r="A17" s="23" t="s">
        <v>636</v>
      </c>
      <c r="B17" s="23" t="s">
        <v>720</v>
      </c>
      <c r="C17" s="23" t="s">
        <v>721</v>
      </c>
      <c r="D17" s="23" t="s">
        <v>722</v>
      </c>
      <c r="E17" s="23" t="s">
        <v>723</v>
      </c>
      <c r="F17" s="23"/>
    </row>
    <row r="18" customFormat="false" ht="15" hidden="false" customHeight="true" outlineLevel="0" collapsed="false">
      <c r="A18" s="94" t="s">
        <v>724</v>
      </c>
      <c r="B18" s="96" t="s">
        <v>725</v>
      </c>
      <c r="C18" s="31" t="n">
        <v>9183</v>
      </c>
      <c r="D18" s="96" t="s">
        <v>726</v>
      </c>
      <c r="E18" s="96" t="s">
        <v>727</v>
      </c>
      <c r="F18" s="96"/>
    </row>
    <row r="19" customFormat="false" ht="15" hidden="false" customHeight="true" outlineLevel="0" collapsed="false">
      <c r="A19" s="94" t="s">
        <v>728</v>
      </c>
      <c r="B19" s="96" t="s">
        <v>729</v>
      </c>
      <c r="C19" s="31" t="n">
        <v>7225</v>
      </c>
      <c r="D19" s="96" t="s">
        <v>730</v>
      </c>
      <c r="E19" s="96" t="s">
        <v>731</v>
      </c>
      <c r="F19" s="96"/>
    </row>
    <row r="20" customFormat="false" ht="15" hidden="false" customHeight="true" outlineLevel="0" collapsed="false">
      <c r="A20" s="115" t="s">
        <v>732</v>
      </c>
      <c r="B20" s="115"/>
      <c r="C20" s="115"/>
      <c r="D20" s="115"/>
      <c r="E20" s="115"/>
      <c r="F20" s="115"/>
    </row>
    <row r="22" customFormat="false" ht="15" hidden="false" customHeight="true" outlineLevel="0" collapsed="false">
      <c r="A22" s="5" t="s">
        <v>733</v>
      </c>
      <c r="B22" s="5"/>
      <c r="C22" s="5"/>
      <c r="D22" s="5"/>
      <c r="E22" s="5"/>
      <c r="F22" s="5"/>
      <c r="G22" s="5"/>
      <c r="H22" s="5"/>
    </row>
    <row r="23" customFormat="false" ht="15" hidden="false" customHeight="true" outlineLevel="0" collapsed="false">
      <c r="A23" s="23" t="s">
        <v>564</v>
      </c>
      <c r="B23" s="23" t="s">
        <v>580</v>
      </c>
      <c r="C23" s="23" t="s">
        <v>734</v>
      </c>
      <c r="D23" s="23"/>
      <c r="E23" s="23"/>
      <c r="F23" s="23"/>
    </row>
    <row r="24" customFormat="false" ht="15" hidden="false" customHeight="true" outlineLevel="0" collapsed="false">
      <c r="A24" s="94" t="s">
        <v>735</v>
      </c>
      <c r="B24" s="31" t="n">
        <v>8164</v>
      </c>
      <c r="C24" s="96" t="s">
        <v>715</v>
      </c>
      <c r="D24" s="96"/>
      <c r="E24" s="96"/>
      <c r="F24" s="96"/>
    </row>
    <row r="25" customFormat="false" ht="15" hidden="false" customHeight="true" outlineLevel="0" collapsed="false">
      <c r="A25" s="94" t="s">
        <v>736</v>
      </c>
      <c r="B25" s="31" t="n">
        <v>3086</v>
      </c>
      <c r="C25" s="96" t="s">
        <v>737</v>
      </c>
      <c r="D25" s="96"/>
      <c r="E25" s="96"/>
      <c r="F25" s="96"/>
    </row>
    <row r="26" customFormat="false" ht="15" hidden="false" customHeight="true" outlineLevel="0" collapsed="false">
      <c r="A26" s="94" t="s">
        <v>738</v>
      </c>
      <c r="B26" s="31" t="n">
        <v>-8437</v>
      </c>
      <c r="C26" s="96" t="s">
        <v>739</v>
      </c>
      <c r="D26" s="96"/>
      <c r="E26" s="96"/>
      <c r="F26" s="96"/>
    </row>
    <row r="27" customFormat="false" ht="15" hidden="false" customHeight="true" outlineLevel="0" collapsed="false">
      <c r="A27" s="116" t="s">
        <v>740</v>
      </c>
      <c r="B27" s="39" t="n">
        <v>2813</v>
      </c>
      <c r="C27" s="117" t="s">
        <v>741</v>
      </c>
      <c r="D27" s="117"/>
      <c r="E27" s="117"/>
      <c r="F27" s="117"/>
    </row>
    <row r="29" customFormat="false" ht="15" hidden="false" customHeight="true" outlineLevel="0" collapsed="false">
      <c r="A29" s="5" t="s">
        <v>742</v>
      </c>
      <c r="B29" s="5"/>
      <c r="C29" s="5"/>
      <c r="D29" s="5"/>
      <c r="E29" s="5"/>
      <c r="F29" s="5"/>
      <c r="G29" s="5"/>
      <c r="H29" s="5"/>
    </row>
    <row r="30" customFormat="false" ht="75" hidden="false" customHeight="true" outlineLevel="0" collapsed="false">
      <c r="A30" s="108" t="s">
        <v>743</v>
      </c>
      <c r="B30" s="108"/>
      <c r="C30" s="108"/>
      <c r="D30" s="108"/>
      <c r="E30" s="108"/>
      <c r="F30" s="108"/>
    </row>
    <row r="31" customFormat="false" ht="15" hidden="false" customHeight="true" outlineLevel="0" collapsed="false">
      <c r="A31" s="108"/>
      <c r="B31" s="108"/>
      <c r="C31" s="108"/>
      <c r="D31" s="108"/>
      <c r="E31" s="108"/>
      <c r="F31" s="108"/>
    </row>
    <row r="32" customFormat="false" ht="15" hidden="false" customHeight="true" outlineLevel="0" collapsed="false">
      <c r="A32" s="108"/>
      <c r="B32" s="108"/>
      <c r="C32" s="108"/>
      <c r="D32" s="108"/>
      <c r="E32" s="108"/>
      <c r="F32" s="108"/>
    </row>
    <row r="33" customFormat="false" ht="15" hidden="false" customHeight="true" outlineLevel="0" collapsed="false">
      <c r="A33" s="108"/>
      <c r="B33" s="108"/>
      <c r="C33" s="108"/>
      <c r="D33" s="108"/>
      <c r="E33" s="108"/>
      <c r="F33" s="108"/>
    </row>
    <row r="35" customFormat="false" ht="15" hidden="false" customHeight="true" outlineLevel="0" collapsed="false">
      <c r="A35" s="21" t="s">
        <v>497</v>
      </c>
    </row>
    <row r="36" customFormat="false" ht="15" hidden="false" customHeight="true" outlineLevel="0" collapsed="false">
      <c r="A36" s="22" t="s">
        <v>744</v>
      </c>
      <c r="B36" s="22"/>
      <c r="C36" s="22"/>
      <c r="D36" s="22"/>
      <c r="E36" s="22"/>
      <c r="F36" s="22"/>
      <c r="G36" s="22"/>
      <c r="H36" s="22"/>
    </row>
    <row r="37" customFormat="false" ht="15" hidden="false" customHeight="true" outlineLevel="0" collapsed="false">
      <c r="A37" s="22" t="s">
        <v>745</v>
      </c>
      <c r="B37" s="22"/>
      <c r="C37" s="22"/>
      <c r="D37" s="22"/>
      <c r="E37" s="22"/>
      <c r="F37" s="22"/>
      <c r="G37" s="22"/>
      <c r="H37" s="22"/>
    </row>
    <row r="38" customFormat="false" ht="15" hidden="false" customHeight="true" outlineLevel="0" collapsed="false">
      <c r="A38" s="22" t="s">
        <v>746</v>
      </c>
      <c r="B38" s="22"/>
      <c r="C38" s="22"/>
      <c r="D38" s="22"/>
      <c r="E38" s="22"/>
      <c r="F38" s="22"/>
      <c r="G38" s="22"/>
      <c r="H38" s="22"/>
    </row>
    <row r="39" customFormat="false" ht="15" hidden="false" customHeight="true" outlineLevel="0" collapsed="false">
      <c r="A39" s="22" t="s">
        <v>747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true" outlineLevel="0" collapsed="false">
      <c r="A40" s="22" t="s">
        <v>748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true" outlineLevel="0" collapsed="false">
      <c r="A41" s="22" t="s">
        <v>749</v>
      </c>
      <c r="B41" s="22"/>
      <c r="C41" s="22"/>
      <c r="D41" s="22"/>
      <c r="E41" s="22"/>
      <c r="F41" s="22"/>
      <c r="G41" s="22"/>
      <c r="H41" s="22"/>
    </row>
    <row r="42" customFormat="false" ht="15" hidden="false" customHeight="true" outlineLevel="0" collapsed="false">
      <c r="A42" s="22" t="s">
        <v>750</v>
      </c>
      <c r="B42" s="22"/>
      <c r="C42" s="22"/>
      <c r="D42" s="22"/>
      <c r="E42" s="22"/>
      <c r="F42" s="22"/>
      <c r="G42" s="22"/>
      <c r="H42" s="22"/>
    </row>
  </sheetData>
  <mergeCells count="16">
    <mergeCell ref="A1:H1"/>
    <mergeCell ref="A2:H2"/>
    <mergeCell ref="A4:H4"/>
    <mergeCell ref="A10:H10"/>
    <mergeCell ref="A16:H16"/>
    <mergeCell ref="A20:F20"/>
    <mergeCell ref="A22:H22"/>
    <mergeCell ref="A29:H29"/>
    <mergeCell ref="A30:F33"/>
    <mergeCell ref="A36:H36"/>
    <mergeCell ref="A37:H37"/>
    <mergeCell ref="A38:H38"/>
    <mergeCell ref="A39:H39"/>
    <mergeCell ref="A40:H40"/>
    <mergeCell ref="A41:H41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" t="s">
        <v>751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752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5" t="s">
        <v>753</v>
      </c>
      <c r="B4" s="5"/>
      <c r="C4" s="5"/>
      <c r="D4" s="5"/>
      <c r="E4" s="5"/>
      <c r="F4" s="5"/>
      <c r="G4" s="5"/>
      <c r="H4" s="5"/>
    </row>
    <row r="5" customFormat="false" ht="15" hidden="false" customHeight="true" outlineLevel="0" collapsed="false">
      <c r="A5" s="23" t="s">
        <v>754</v>
      </c>
      <c r="B5" s="23" t="s">
        <v>4</v>
      </c>
      <c r="C5" s="23" t="s">
        <v>5</v>
      </c>
      <c r="D5" s="23" t="s">
        <v>522</v>
      </c>
      <c r="E5" s="23" t="s">
        <v>523</v>
      </c>
      <c r="F5" s="23"/>
    </row>
    <row r="6" customFormat="false" ht="15" hidden="false" customHeight="true" outlineLevel="0" collapsed="false">
      <c r="A6" s="94" t="s">
        <v>755</v>
      </c>
      <c r="B6" s="31" t="n">
        <v>53821</v>
      </c>
      <c r="C6" s="31" t="n">
        <v>123423</v>
      </c>
      <c r="D6" s="31" t="n">
        <v>112967</v>
      </c>
      <c r="E6" s="31" t="n">
        <v>278998</v>
      </c>
      <c r="F6" s="96"/>
    </row>
    <row r="7" customFormat="false" ht="15" hidden="false" customHeight="true" outlineLevel="0" collapsed="false">
      <c r="A7" s="94" t="s">
        <v>756</v>
      </c>
      <c r="B7" s="31" t="n">
        <v>37034</v>
      </c>
      <c r="C7" s="31" t="n">
        <v>54196</v>
      </c>
      <c r="D7" s="31" t="n">
        <v>36066</v>
      </c>
      <c r="E7" s="31" t="n">
        <v>107905</v>
      </c>
      <c r="F7" s="96"/>
    </row>
    <row r="8" customFormat="false" ht="15" hidden="false" customHeight="true" outlineLevel="0" collapsed="false">
      <c r="A8" s="97" t="s">
        <v>757</v>
      </c>
      <c r="B8" s="12" t="n">
        <v>90855</v>
      </c>
      <c r="C8" s="12" t="n">
        <v>177619</v>
      </c>
      <c r="D8" s="12" t="n">
        <v>149033</v>
      </c>
      <c r="E8" s="12" t="n">
        <v>386903</v>
      </c>
      <c r="F8" s="99" t="s">
        <v>758</v>
      </c>
    </row>
    <row r="10" customFormat="false" ht="15" hidden="false" customHeight="true" outlineLevel="0" collapsed="false">
      <c r="A10" s="5" t="s">
        <v>759</v>
      </c>
      <c r="B10" s="5"/>
      <c r="C10" s="5"/>
      <c r="D10" s="5"/>
      <c r="E10" s="5"/>
      <c r="F10" s="5"/>
      <c r="G10" s="5"/>
      <c r="H10" s="5"/>
    </row>
    <row r="11" customFormat="false" ht="15" hidden="false" customHeight="true" outlineLevel="0" collapsed="false">
      <c r="A11" s="23" t="s">
        <v>760</v>
      </c>
      <c r="B11" s="23" t="s">
        <v>761</v>
      </c>
      <c r="C11" s="23" t="s">
        <v>762</v>
      </c>
      <c r="D11" s="23" t="s">
        <v>763</v>
      </c>
      <c r="E11" s="23"/>
    </row>
    <row r="12" customFormat="false" ht="15" hidden="false" customHeight="true" outlineLevel="0" collapsed="false">
      <c r="A12" s="94" t="s">
        <v>764</v>
      </c>
      <c r="B12" s="96" t="s">
        <v>765</v>
      </c>
      <c r="C12" s="31" t="n">
        <v>94672</v>
      </c>
      <c r="D12" s="90" t="n">
        <v>0.244</v>
      </c>
      <c r="E12" s="96" t="s">
        <v>766</v>
      </c>
    </row>
    <row r="13" customFormat="false" ht="15" hidden="false" customHeight="true" outlineLevel="0" collapsed="false">
      <c r="A13" s="94" t="s">
        <v>767</v>
      </c>
      <c r="B13" s="96" t="s">
        <v>768</v>
      </c>
      <c r="C13" s="31" t="n">
        <v>60031</v>
      </c>
      <c r="D13" s="90" t="n">
        <v>0.155</v>
      </c>
      <c r="E13" s="96" t="s">
        <v>766</v>
      </c>
    </row>
    <row r="14" customFormat="false" ht="15" hidden="false" customHeight="true" outlineLevel="0" collapsed="false">
      <c r="A14" s="94" t="s">
        <v>769</v>
      </c>
      <c r="B14" s="96" t="s">
        <v>770</v>
      </c>
      <c r="C14" s="31" t="n">
        <v>34268</v>
      </c>
      <c r="D14" s="90" t="n">
        <v>0.089</v>
      </c>
      <c r="E14" s="96" t="s">
        <v>766</v>
      </c>
    </row>
    <row r="15" customFormat="false" ht="15" hidden="false" customHeight="true" outlineLevel="0" collapsed="false">
      <c r="A15" s="116" t="s">
        <v>771</v>
      </c>
      <c r="B15" s="117"/>
      <c r="C15" s="39" t="n">
        <v>188971</v>
      </c>
      <c r="D15" s="76" t="n">
        <v>0.488</v>
      </c>
      <c r="E15" s="117" t="s">
        <v>772</v>
      </c>
    </row>
    <row r="17" customFormat="false" ht="15" hidden="false" customHeight="true" outlineLevel="0" collapsed="false">
      <c r="A17" s="5" t="s">
        <v>773</v>
      </c>
      <c r="B17" s="5"/>
      <c r="C17" s="5"/>
      <c r="D17" s="5"/>
      <c r="E17" s="5"/>
      <c r="F17" s="5"/>
      <c r="G17" s="5"/>
      <c r="H17" s="5"/>
    </row>
    <row r="18" customFormat="false" ht="15" hidden="false" customHeight="true" outlineLevel="0" collapsed="false">
      <c r="A18" s="23" t="s">
        <v>774</v>
      </c>
      <c r="B18" s="23" t="s">
        <v>522</v>
      </c>
      <c r="C18" s="23" t="s">
        <v>523</v>
      </c>
      <c r="D18" s="23" t="s">
        <v>667</v>
      </c>
      <c r="E18" s="23" t="s">
        <v>775</v>
      </c>
    </row>
    <row r="19" customFormat="false" ht="15" hidden="false" customHeight="true" outlineLevel="0" collapsed="false">
      <c r="A19" s="94" t="s">
        <v>776</v>
      </c>
      <c r="B19" s="31" t="n">
        <v>130577</v>
      </c>
      <c r="C19" s="31" t="n">
        <v>250357</v>
      </c>
      <c r="D19" s="31" t="n">
        <v>119780</v>
      </c>
      <c r="E19" s="90" t="n">
        <v>0.554</v>
      </c>
    </row>
    <row r="20" customFormat="false" ht="15" hidden="false" customHeight="true" outlineLevel="0" collapsed="false">
      <c r="A20" s="110" t="s">
        <v>777</v>
      </c>
      <c r="B20" s="111" t="n">
        <v>44895</v>
      </c>
      <c r="C20" s="111" t="n">
        <v>141284</v>
      </c>
      <c r="D20" s="111" t="n">
        <v>96389</v>
      </c>
      <c r="E20" s="118" t="n">
        <v>0.312</v>
      </c>
    </row>
    <row r="21" customFormat="false" ht="15" hidden="false" customHeight="true" outlineLevel="0" collapsed="false">
      <c r="A21" s="94" t="s">
        <v>778</v>
      </c>
      <c r="B21" s="31" t="n">
        <v>15583</v>
      </c>
      <c r="C21" s="31" t="n">
        <v>18231</v>
      </c>
      <c r="D21" s="31" t="n">
        <v>2648</v>
      </c>
      <c r="E21" s="90" t="n">
        <v>0.04</v>
      </c>
    </row>
    <row r="22" customFormat="false" ht="15" hidden="false" customHeight="true" outlineLevel="0" collapsed="false">
      <c r="A22" s="94" t="s">
        <v>779</v>
      </c>
      <c r="B22" s="31" t="n">
        <v>26304</v>
      </c>
      <c r="C22" s="31" t="n">
        <v>7567</v>
      </c>
      <c r="D22" s="31" t="n">
        <v>-18737</v>
      </c>
      <c r="E22" s="90" t="n">
        <v>0.017</v>
      </c>
    </row>
    <row r="23" customFormat="false" ht="15" hidden="false" customHeight="true" outlineLevel="0" collapsed="false">
      <c r="A23" s="100" t="s">
        <v>780</v>
      </c>
      <c r="B23" s="101" t="n">
        <v>48448</v>
      </c>
      <c r="C23" s="101" t="n">
        <v>71989</v>
      </c>
      <c r="D23" s="101" t="n">
        <v>23541</v>
      </c>
      <c r="E23" s="114" t="n">
        <v>0.159</v>
      </c>
    </row>
    <row r="24" customFormat="false" ht="15" hidden="false" customHeight="true" outlineLevel="0" collapsed="false">
      <c r="A24" s="97" t="s">
        <v>781</v>
      </c>
      <c r="B24" s="12" t="n">
        <v>265807</v>
      </c>
      <c r="C24" s="12" t="n">
        <v>489428</v>
      </c>
      <c r="D24" s="12" t="n">
        <v>223621</v>
      </c>
      <c r="E24" s="72" t="n">
        <v>1</v>
      </c>
    </row>
    <row r="26" customFormat="false" ht="15" hidden="false" customHeight="true" outlineLevel="0" collapsed="false">
      <c r="A26" s="5" t="s">
        <v>782</v>
      </c>
      <c r="B26" s="5"/>
      <c r="C26" s="5"/>
      <c r="D26" s="5"/>
      <c r="E26" s="5"/>
      <c r="F26" s="5"/>
      <c r="G26" s="5"/>
      <c r="H26" s="5"/>
    </row>
    <row r="27" customFormat="false" ht="15" hidden="false" customHeight="true" outlineLevel="0" collapsed="false">
      <c r="A27" s="23" t="s">
        <v>636</v>
      </c>
      <c r="B27" s="23" t="s">
        <v>522</v>
      </c>
      <c r="C27" s="23" t="s">
        <v>523</v>
      </c>
      <c r="D27" s="23" t="s">
        <v>667</v>
      </c>
      <c r="E27" s="23"/>
    </row>
    <row r="28" customFormat="false" ht="15" hidden="false" customHeight="true" outlineLevel="0" collapsed="false">
      <c r="A28" s="94" t="s">
        <v>783</v>
      </c>
      <c r="B28" s="31" t="n">
        <v>40240</v>
      </c>
      <c r="C28" s="31" t="n">
        <v>37114</v>
      </c>
      <c r="D28" s="31" t="n">
        <v>-3126</v>
      </c>
      <c r="E28" s="96" t="s">
        <v>784</v>
      </c>
    </row>
    <row r="29" customFormat="false" ht="15" hidden="false" customHeight="true" outlineLevel="0" collapsed="false">
      <c r="A29" s="100" t="s">
        <v>785</v>
      </c>
      <c r="B29" s="101" t="n">
        <v>7336</v>
      </c>
      <c r="C29" s="101" t="n">
        <v>-3126</v>
      </c>
      <c r="D29" s="101" t="n">
        <v>-10462</v>
      </c>
      <c r="E29" s="102" t="s">
        <v>786</v>
      </c>
    </row>
    <row r="31" customFormat="false" ht="15" hidden="false" customHeight="true" outlineLevel="0" collapsed="false">
      <c r="A31" s="5" t="s">
        <v>787</v>
      </c>
      <c r="B31" s="5"/>
      <c r="C31" s="5"/>
      <c r="D31" s="5"/>
      <c r="E31" s="5"/>
      <c r="F31" s="5"/>
      <c r="G31" s="5"/>
      <c r="H31" s="5"/>
    </row>
    <row r="32" customFormat="false" ht="15" hidden="false" customHeight="true" outlineLevel="0" collapsed="false">
      <c r="A32" s="23" t="s">
        <v>788</v>
      </c>
      <c r="B32" s="23" t="s">
        <v>789</v>
      </c>
      <c r="C32" s="23" t="s">
        <v>790</v>
      </c>
      <c r="D32" s="23" t="s">
        <v>565</v>
      </c>
      <c r="E32" s="23"/>
    </row>
    <row r="33" customFormat="false" ht="15" hidden="false" customHeight="true" outlineLevel="0" collapsed="false">
      <c r="A33" s="94" t="s">
        <v>791</v>
      </c>
      <c r="B33" s="96" t="s">
        <v>792</v>
      </c>
      <c r="C33" s="96" t="s">
        <v>793</v>
      </c>
      <c r="D33" s="96" t="s">
        <v>794</v>
      </c>
      <c r="E33" s="96"/>
    </row>
    <row r="34" customFormat="false" ht="15" hidden="false" customHeight="true" outlineLevel="0" collapsed="false">
      <c r="A34" s="94" t="s">
        <v>795</v>
      </c>
      <c r="B34" s="96" t="s">
        <v>792</v>
      </c>
      <c r="C34" s="96" t="s">
        <v>796</v>
      </c>
      <c r="D34" s="96" t="s">
        <v>797</v>
      </c>
      <c r="E34" s="96"/>
    </row>
    <row r="35" customFormat="false" ht="15" hidden="false" customHeight="true" outlineLevel="0" collapsed="false">
      <c r="A35" s="94" t="s">
        <v>798</v>
      </c>
      <c r="B35" s="96" t="s">
        <v>799</v>
      </c>
      <c r="C35" s="96" t="s">
        <v>800</v>
      </c>
      <c r="D35" s="96" t="s">
        <v>801</v>
      </c>
      <c r="E35" s="96"/>
    </row>
    <row r="36" customFormat="false" ht="15" hidden="false" customHeight="true" outlineLevel="0" collapsed="false">
      <c r="A36" s="94" t="s">
        <v>802</v>
      </c>
      <c r="B36" s="96" t="s">
        <v>803</v>
      </c>
      <c r="C36" s="96" t="s">
        <v>800</v>
      </c>
      <c r="D36" s="96" t="s">
        <v>801</v>
      </c>
      <c r="E36" s="96"/>
    </row>
    <row r="38" customFormat="false" ht="15" hidden="false" customHeight="true" outlineLevel="0" collapsed="false">
      <c r="A38" s="5" t="s">
        <v>804</v>
      </c>
      <c r="B38" s="5"/>
      <c r="C38" s="5"/>
      <c r="D38" s="5"/>
      <c r="E38" s="5"/>
      <c r="F38" s="5"/>
      <c r="G38" s="5"/>
      <c r="H38" s="5"/>
    </row>
    <row r="39" customFormat="false" ht="75" hidden="false" customHeight="true" outlineLevel="0" collapsed="false">
      <c r="A39" s="108" t="s">
        <v>805</v>
      </c>
      <c r="B39" s="108"/>
      <c r="C39" s="108"/>
      <c r="D39" s="108"/>
      <c r="E39" s="108"/>
      <c r="F39" s="108"/>
    </row>
    <row r="40" customFormat="false" ht="15" hidden="false" customHeight="true" outlineLevel="0" collapsed="false">
      <c r="A40" s="108"/>
      <c r="B40" s="108"/>
      <c r="C40" s="108"/>
      <c r="D40" s="108"/>
      <c r="E40" s="108"/>
      <c r="F40" s="108"/>
    </row>
    <row r="41" customFormat="false" ht="15" hidden="false" customHeight="true" outlineLevel="0" collapsed="false">
      <c r="A41" s="108"/>
      <c r="B41" s="108"/>
      <c r="C41" s="108"/>
      <c r="D41" s="108"/>
      <c r="E41" s="108"/>
      <c r="F41" s="108"/>
    </row>
    <row r="42" customFormat="false" ht="15" hidden="false" customHeight="true" outlineLevel="0" collapsed="false">
      <c r="A42" s="108"/>
      <c r="B42" s="108"/>
      <c r="C42" s="108"/>
      <c r="D42" s="108"/>
      <c r="E42" s="108"/>
      <c r="F42" s="108"/>
    </row>
    <row r="44" customFormat="false" ht="15" hidden="false" customHeight="true" outlineLevel="0" collapsed="false">
      <c r="A44" s="21" t="s">
        <v>497</v>
      </c>
    </row>
    <row r="45" customFormat="false" ht="15" hidden="false" customHeight="true" outlineLevel="0" collapsed="false">
      <c r="A45" s="22" t="s">
        <v>806</v>
      </c>
      <c r="B45" s="22"/>
      <c r="C45" s="22"/>
      <c r="D45" s="22"/>
      <c r="E45" s="22"/>
      <c r="F45" s="22"/>
      <c r="G45" s="22"/>
      <c r="H45" s="22"/>
    </row>
    <row r="46" customFormat="false" ht="15" hidden="false" customHeight="true" outlineLevel="0" collapsed="false">
      <c r="A46" s="22" t="s">
        <v>807</v>
      </c>
      <c r="B46" s="22"/>
      <c r="C46" s="22"/>
      <c r="D46" s="22"/>
      <c r="E46" s="22"/>
      <c r="F46" s="22"/>
      <c r="G46" s="22"/>
      <c r="H46" s="22"/>
    </row>
    <row r="47" customFormat="false" ht="15" hidden="false" customHeight="true" outlineLevel="0" collapsed="false">
      <c r="A47" s="22" t="s">
        <v>808</v>
      </c>
      <c r="B47" s="22"/>
      <c r="C47" s="22"/>
      <c r="D47" s="22"/>
      <c r="E47" s="22"/>
      <c r="F47" s="22"/>
      <c r="G47" s="22"/>
      <c r="H47" s="22"/>
    </row>
    <row r="48" customFormat="false" ht="15" hidden="false" customHeight="true" outlineLevel="0" collapsed="false">
      <c r="A48" s="22" t="s">
        <v>809</v>
      </c>
      <c r="B48" s="22"/>
      <c r="C48" s="22"/>
      <c r="D48" s="22"/>
      <c r="E48" s="22"/>
      <c r="F48" s="22"/>
      <c r="G48" s="22"/>
      <c r="H48" s="22"/>
    </row>
    <row r="49" customFormat="false" ht="15" hidden="false" customHeight="true" outlineLevel="0" collapsed="false">
      <c r="A49" s="22" t="s">
        <v>810</v>
      </c>
      <c r="B49" s="22"/>
      <c r="C49" s="22"/>
      <c r="D49" s="22"/>
      <c r="E49" s="22"/>
      <c r="F49" s="22"/>
      <c r="G49" s="22"/>
      <c r="H49" s="22"/>
    </row>
    <row r="50" customFormat="false" ht="15" hidden="false" customHeight="true" outlineLevel="0" collapsed="false">
      <c r="A50" s="22" t="s">
        <v>811</v>
      </c>
      <c r="B50" s="22"/>
      <c r="C50" s="22"/>
      <c r="D50" s="22"/>
      <c r="E50" s="22"/>
      <c r="F50" s="22"/>
      <c r="G50" s="22"/>
      <c r="H50" s="22"/>
    </row>
    <row r="51" customFormat="false" ht="15" hidden="false" customHeight="true" outlineLevel="0" collapsed="false">
      <c r="A51" s="22" t="s">
        <v>812</v>
      </c>
      <c r="B51" s="22"/>
      <c r="C51" s="22"/>
      <c r="D51" s="22"/>
      <c r="E51" s="22"/>
      <c r="F51" s="22"/>
      <c r="G51" s="22"/>
      <c r="H51" s="22"/>
    </row>
  </sheetData>
  <mergeCells count="16">
    <mergeCell ref="A1:H1"/>
    <mergeCell ref="A2:H2"/>
    <mergeCell ref="A4:H4"/>
    <mergeCell ref="A10:H10"/>
    <mergeCell ref="A17:H17"/>
    <mergeCell ref="A26:H26"/>
    <mergeCell ref="A31:H31"/>
    <mergeCell ref="A38:H38"/>
    <mergeCell ref="A39:F42"/>
    <mergeCell ref="A45:H45"/>
    <mergeCell ref="A46:H46"/>
    <mergeCell ref="A47:H47"/>
    <mergeCell ref="A48:H48"/>
    <mergeCell ref="A49:H49"/>
    <mergeCell ref="A50:H50"/>
    <mergeCell ref="A51:H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2026-05-25T06:00:50Z</dcterms:created>
  <dc:creator>openpyxl</dc:creator>
  <dc:description/>
  <dc:language>en-US</dc:language>
  <cp:lastModifiedBy/>
  <dcterms:modified xsi:type="dcterms:W3CDTF">2026-05-26T06:15:03Z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